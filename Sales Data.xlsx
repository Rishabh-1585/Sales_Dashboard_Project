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c01f0393d0df5625/Desktop/excel/Project2/"/>
    </mc:Choice>
  </mc:AlternateContent>
  <xr:revisionPtr revIDLastSave="100" documentId="6_{24D51241-B51D-44C1-A7F7-E4590BE818B5}" xr6:coauthVersionLast="47" xr6:coauthVersionMax="47" xr10:uidLastSave="{6D6B0F2F-6E8A-46A3-A8FE-9C06E0FFE519}"/>
  <bookViews>
    <workbookView xWindow="-120" yWindow="-120" windowWidth="20730" windowHeight="11160" activeTab="2" xr2:uid="{00000000-000D-0000-FFFF-FFFF00000000}"/>
  </bookViews>
  <sheets>
    <sheet name="Sales_Data" sheetId="1" r:id="rId1"/>
    <sheet name="Pivot Tables" sheetId="4" r:id="rId2"/>
    <sheet name="Dashboard" sheetId="3" r:id="rId3"/>
  </sheets>
  <definedNames>
    <definedName name="_xlchart.v2.0" hidden="1">'Pivot Tables'!$L$3:$L$11</definedName>
    <definedName name="_xlchart.v2.1" hidden="1">'Pivot Tables'!$M$3:$M$11</definedName>
    <definedName name="_xlchart.v5.2" hidden="1">'Pivot Tables'!$A$20</definedName>
    <definedName name="_xlchart.v5.3" hidden="1">'Pivot Tables'!$A$21:$A$26</definedName>
    <definedName name="_xlchart.v5.4" hidden="1">'Pivot Tables'!$B$20</definedName>
    <definedName name="_xlchart.v5.5" hidden="1">'Pivot Tables'!$B$21:$B$26</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4" l="1"/>
  <c r="B4" i="4"/>
  <c r="A22" i="4"/>
  <c r="A23" i="4"/>
  <c r="A24" i="4"/>
  <c r="A25" i="4"/>
  <c r="A26" i="4"/>
  <c r="A21" i="4"/>
  <c r="L4" i="4"/>
  <c r="L5" i="4"/>
  <c r="L6" i="4"/>
  <c r="L7" i="4"/>
  <c r="L8" i="4"/>
  <c r="L9" i="4"/>
  <c r="L10" i="4"/>
  <c r="L11" i="4"/>
  <c r="L3" i="4"/>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2" i="1"/>
  <c r="B26" i="4"/>
  <c r="M7" i="4"/>
  <c r="B25" i="4"/>
  <c r="M10" i="4"/>
  <c r="M11" i="4"/>
  <c r="M6" i="4"/>
  <c r="B24" i="4"/>
  <c r="M3" i="4"/>
  <c r="M5" i="4"/>
  <c r="B23" i="4"/>
  <c r="B21" i="4"/>
  <c r="M4" i="4"/>
  <c r="M8" i="4"/>
  <c r="M9" i="4"/>
  <c r="B22" i="4"/>
</calcChain>
</file>

<file path=xl/sharedStrings.xml><?xml version="1.0" encoding="utf-8"?>
<sst xmlns="http://schemas.openxmlformats.org/spreadsheetml/2006/main" count="799" uniqueCount="166">
  <si>
    <t>Order Date</t>
  </si>
  <si>
    <t>Customer Name</t>
  </si>
  <si>
    <t>Salesman Name</t>
  </si>
  <si>
    <t>State</t>
  </si>
  <si>
    <t>Category</t>
  </si>
  <si>
    <t>Sub-Category</t>
  </si>
  <si>
    <t>Sales</t>
  </si>
  <si>
    <t>Quantity</t>
  </si>
  <si>
    <t>Profit</t>
  </si>
  <si>
    <t>Month</t>
  </si>
  <si>
    <t>Year</t>
  </si>
  <si>
    <t>2026-02-18</t>
  </si>
  <si>
    <t>Amit Sharma</t>
  </si>
  <si>
    <t>Rakesh</t>
  </si>
  <si>
    <t>Rajasthan</t>
  </si>
  <si>
    <t>Office Supplies</t>
  </si>
  <si>
    <t>Paper</t>
  </si>
  <si>
    <t>February</t>
  </si>
  <si>
    <t>2025-02-27</t>
  </si>
  <si>
    <t>Sneha Patel</t>
  </si>
  <si>
    <t>Suman</t>
  </si>
  <si>
    <t>Binder</t>
  </si>
  <si>
    <t>2025-08-31</t>
  </si>
  <si>
    <t>Rahul Verma</t>
  </si>
  <si>
    <t>Karan</t>
  </si>
  <si>
    <t>Uttar Pradesh</t>
  </si>
  <si>
    <t>August</t>
  </si>
  <si>
    <t>2025-04-21</t>
  </si>
  <si>
    <t>Vikas Kumar</t>
  </si>
  <si>
    <t>Gujarat</t>
  </si>
  <si>
    <t>Furniture</t>
  </si>
  <si>
    <t>Bookcase</t>
  </si>
  <si>
    <t>April</t>
  </si>
  <si>
    <t>2026-02-24</t>
  </si>
  <si>
    <t>Pooja</t>
  </si>
  <si>
    <t>Karnataka</t>
  </si>
  <si>
    <t>Electronics</t>
  </si>
  <si>
    <t>Printer</t>
  </si>
  <si>
    <t>2025-04-17</t>
  </si>
  <si>
    <t>Neha Gupta</t>
  </si>
  <si>
    <t>Delhi</t>
  </si>
  <si>
    <t>Laptop</t>
  </si>
  <si>
    <t>2025-01-23</t>
  </si>
  <si>
    <t>Mohit</t>
  </si>
  <si>
    <t>Chair</t>
  </si>
  <si>
    <t>January</t>
  </si>
  <si>
    <t>2026-01-23</t>
  </si>
  <si>
    <t>Maharashtra</t>
  </si>
  <si>
    <t>Table</t>
  </si>
  <si>
    <t>2025-03-22</t>
  </si>
  <si>
    <t>Rohit Yadav</t>
  </si>
  <si>
    <t>Arun</t>
  </si>
  <si>
    <t>March</t>
  </si>
  <si>
    <t>2025-08-22</t>
  </si>
  <si>
    <t>Priya Singh</t>
  </si>
  <si>
    <t>Pen</t>
  </si>
  <si>
    <t>2025-04-03</t>
  </si>
  <si>
    <t>2026-02-09</t>
  </si>
  <si>
    <t>2026-04-18</t>
  </si>
  <si>
    <t>2025-04-12</t>
  </si>
  <si>
    <t>2025-01-13</t>
  </si>
  <si>
    <t>Anjali Mishra</t>
  </si>
  <si>
    <t>2025-06-10</t>
  </si>
  <si>
    <t>June</t>
  </si>
  <si>
    <t>2026-01-03</t>
  </si>
  <si>
    <t>2025-10-15</t>
  </si>
  <si>
    <t>October</t>
  </si>
  <si>
    <t>2026-04-09</t>
  </si>
  <si>
    <t>2025-11-25</t>
  </si>
  <si>
    <t>November</t>
  </si>
  <si>
    <t>2025-04-05</t>
  </si>
  <si>
    <t>2025-07-21</t>
  </si>
  <si>
    <t>July</t>
  </si>
  <si>
    <t>2025-06-05</t>
  </si>
  <si>
    <t>Mobile</t>
  </si>
  <si>
    <t>2025-11-09</t>
  </si>
  <si>
    <t>2025-02-19</t>
  </si>
  <si>
    <t>2026-03-07</t>
  </si>
  <si>
    <t>2026-04-15</t>
  </si>
  <si>
    <t>2025-02-05</t>
  </si>
  <si>
    <t>2025-12-19</t>
  </si>
  <si>
    <t>December</t>
  </si>
  <si>
    <t>2025-10-27</t>
  </si>
  <si>
    <t>2026-03-30</t>
  </si>
  <si>
    <t>2025-05-11</t>
  </si>
  <si>
    <t>May</t>
  </si>
  <si>
    <t>2026-04-16</t>
  </si>
  <si>
    <t>2026-05-12</t>
  </si>
  <si>
    <t>2025-11-18</t>
  </si>
  <si>
    <t>2026-03-26</t>
  </si>
  <si>
    <t>2025-12-01</t>
  </si>
  <si>
    <t>2025-11-11</t>
  </si>
  <si>
    <t>2025-12-24</t>
  </si>
  <si>
    <t>2025-10-31</t>
  </si>
  <si>
    <t>2025-05-23</t>
  </si>
  <si>
    <t>2025-02-16</t>
  </si>
  <si>
    <t>2026-03-23</t>
  </si>
  <si>
    <t>2025-09-28</t>
  </si>
  <si>
    <t>September</t>
  </si>
  <si>
    <t>2025-06-16</t>
  </si>
  <si>
    <t>2025-08-05</t>
  </si>
  <si>
    <t>2025-09-14</t>
  </si>
  <si>
    <t>2025-09-29</t>
  </si>
  <si>
    <t>2025-09-06</t>
  </si>
  <si>
    <t>2025-05-04</t>
  </si>
  <si>
    <t>2025-04-08</t>
  </si>
  <si>
    <t>2025-03-31</t>
  </si>
  <si>
    <t>2025-12-28</t>
  </si>
  <si>
    <t>2025-11-01</t>
  </si>
  <si>
    <t>2025-09-17</t>
  </si>
  <si>
    <t>2026-05-08</t>
  </si>
  <si>
    <t>2025-03-01</t>
  </si>
  <si>
    <t>2025-04-04</t>
  </si>
  <si>
    <t>2025-03-30</t>
  </si>
  <si>
    <t>2026-03-03</t>
  </si>
  <si>
    <t>2026-01-04</t>
  </si>
  <si>
    <t>2026-03-12</t>
  </si>
  <si>
    <t>2025-08-21</t>
  </si>
  <si>
    <t>2025-09-20</t>
  </si>
  <si>
    <t>2025-04-28</t>
  </si>
  <si>
    <t>2025-02-01</t>
  </si>
  <si>
    <t>2025-03-27</t>
  </si>
  <si>
    <t>2025-10-12</t>
  </si>
  <si>
    <t>2026-05-16</t>
  </si>
  <si>
    <t>2025-10-03</t>
  </si>
  <si>
    <t>2026-04-29</t>
  </si>
  <si>
    <t>2025-05-01</t>
  </si>
  <si>
    <t>2025-01-12</t>
  </si>
  <si>
    <t>2026-01-08</t>
  </si>
  <si>
    <t>2026-01-13</t>
  </si>
  <si>
    <t>2025-09-10</t>
  </si>
  <si>
    <t>2026-05-06</t>
  </si>
  <si>
    <t>2026-01-24</t>
  </si>
  <si>
    <t>2025-01-05</t>
  </si>
  <si>
    <t>2025-10-25</t>
  </si>
  <si>
    <t>2025-10-02</t>
  </si>
  <si>
    <t>2026-04-22</t>
  </si>
  <si>
    <t>2026-04-10</t>
  </si>
  <si>
    <t>2026-01-06</t>
  </si>
  <si>
    <t>2026-01-09</t>
  </si>
  <si>
    <t>2026-04-26</t>
  </si>
  <si>
    <t>2025-04-18</t>
  </si>
  <si>
    <t>2025-01-24</t>
  </si>
  <si>
    <t>2025-06-07</t>
  </si>
  <si>
    <t>2025-06-26</t>
  </si>
  <si>
    <t>2026-01-27</t>
  </si>
  <si>
    <t>2026-01-26</t>
  </si>
  <si>
    <t>2025-08-07</t>
  </si>
  <si>
    <t>2025-11-30</t>
  </si>
  <si>
    <t>Order_Date</t>
  </si>
  <si>
    <t>Sum of Sales</t>
  </si>
  <si>
    <t>Sum of Profit</t>
  </si>
  <si>
    <t>Profit By Year</t>
  </si>
  <si>
    <t>Row Labels</t>
  </si>
  <si>
    <t>Grand Total</t>
  </si>
  <si>
    <t>Sales By Sub-Category</t>
  </si>
  <si>
    <t>Total Sales</t>
  </si>
  <si>
    <t>Total Profit</t>
  </si>
  <si>
    <t>Category Sales</t>
  </si>
  <si>
    <t>Customer Count By Year</t>
  </si>
  <si>
    <t>Count of Customer Name</t>
  </si>
  <si>
    <t>Sales By State</t>
  </si>
  <si>
    <t xml:space="preserve">State </t>
  </si>
  <si>
    <t>Top 5 Cutomer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</si>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</sst>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_ [$₹-4009]\ * #,##0.00_ ;_ [$₹-4009]\ * \-#,##0.00_ ;_ [$₹-4009]\ * &quot;-&quot;??_ ;_ @_ "/>
    <numFmt numFmtId="166" formatCode="0.00,\ &quot;K&quot;"/>
  </numFmts>
  <fonts count="4" x14ac:knownFonts="1">
    <font>
      <sz val="11"/>
      <color theme="1"/>
      <name val="Calibri"/>
      <family val="2"/>
      <scheme val="minor"/>
    </font>
    <font>
      <b/>
      <sz val="11"/>
      <color theme="0"/>
      <name val="Calibri"/>
      <family val="2"/>
      <scheme val="minor"/>
    </font>
    <font>
      <b/>
      <sz val="12"/>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tint="-0.249977111117893"/>
        <bgColor indexed="64"/>
      </patternFill>
    </fill>
    <fill>
      <patternFill patternType="solid">
        <fgColor theme="9" tint="-0.249977111117893"/>
        <bgColor theme="4"/>
      </patternFill>
    </fill>
  </fills>
  <borders count="3">
    <border>
      <left/>
      <right/>
      <top/>
      <bottom/>
      <diagonal/>
    </border>
    <border>
      <left/>
      <right style="thin">
        <color theme="0"/>
      </right>
      <top/>
      <bottom style="thick">
        <color theme="0"/>
      </bottom>
      <diagonal/>
    </border>
    <border>
      <left/>
      <right style="thin">
        <color theme="0"/>
      </right>
      <top style="thin">
        <color theme="0"/>
      </top>
      <bottom style="thin">
        <color theme="0"/>
      </bottom>
      <diagonal/>
    </border>
  </borders>
  <cellStyleXfs count="1">
    <xf numFmtId="0" fontId="0" fillId="0" borderId="0"/>
  </cellStyleXfs>
  <cellXfs count="13">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2" borderId="2" xfId="0" applyFill="1" applyBorder="1"/>
    <xf numFmtId="0" fontId="0" fillId="3" borderId="2" xfId="0" applyFill="1" applyBorder="1"/>
    <xf numFmtId="2" fontId="0" fillId="0" borderId="0" xfId="0" applyNumberFormat="1"/>
    <xf numFmtId="165" fontId="0" fillId="0" borderId="0" xfId="0" applyNumberFormat="1"/>
    <xf numFmtId="0" fontId="2" fillId="4" borderId="0" xfId="0" applyFont="1" applyFill="1"/>
    <xf numFmtId="0" fontId="3" fillId="5" borderId="0" xfId="0" applyFont="1" applyFill="1"/>
    <xf numFmtId="0" fontId="1" fillId="6" borderId="1" xfId="0" applyFont="1" applyFill="1" applyBorder="1"/>
    <xf numFmtId="0" fontId="0" fillId="5" borderId="0" xfId="0" applyFill="1"/>
    <xf numFmtId="166" fontId="0" fillId="0" borderId="0" xfId="0" applyNumberFormat="1"/>
  </cellXfs>
  <cellStyles count="1">
    <cellStyle name="Normal" xfId="0" builtinId="0"/>
  </cellStyles>
  <dxfs count="150">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numFmt numFmtId="166" formatCode="0.00,\ &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 &quot;K&quot;"/>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style="thin">
          <color theme="0"/>
        </right>
        <top style="thin">
          <color theme="0"/>
        </top>
        <bottom style="thin">
          <color theme="0"/>
        </bottom>
        <vertical/>
        <horizontal/>
      </border>
    </dxf>
    <dxf>
      <border outline="0">
        <left style="thin">
          <color theme="0"/>
        </left>
      </border>
    </dxf>
    <dxf>
      <fill>
        <patternFill>
          <bgColor theme="9" tint="-0.249977111117893"/>
        </patternFill>
      </fill>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6" formatCode="0.00,\ &quot;K&quot;"/>
    </dxf>
    <dxf>
      <numFmt numFmtId="165" formatCode="_ [$₹-4009]\ * #,##0.00_ ;_ [$₹-4009]\ * \-#,##0.00_ ;_ [$₹-4009]\ * &quot;-&quot;??_ ;_ @_ "/>
    </dxf>
    <dxf>
      <numFmt numFmtId="165" formatCode="_ [$₹-4009]\ * #,##0.00_ ;_ [$₹-4009]\ * \-#,##0.00_ ;_ [$₹-4009]\ * &quot;-&quot;??_ ;_ @_ "/>
    </dxf>
    <dxf>
      <numFmt numFmtId="164" formatCode="dd\-mm\-yyyy"/>
    </dxf>
    <dxf>
      <numFmt numFmtId="164" formatCode="dd\-mm\-yyyy"/>
    </dxf>
  </dxfs>
  <tableStyles count="0" defaultTableStyle="TableStyleMedium9" defaultPivotStyle="PivotStyleLight16"/>
  <colors>
    <mruColors>
      <color rgb="FF0C7F69"/>
      <color rgb="FF0C769E"/>
      <color rgb="FF084F6A"/>
      <color rgb="FF0B76A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Tables!ProfitByYear</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a:solidFill>
                  <a:schemeClr val="tx1"/>
                </a:solidFill>
              </a:rPr>
              <a:t>Profit</a:t>
            </a:r>
            <a:r>
              <a:rPr lang="en-IN" sz="1400" baseline="0">
                <a:solidFill>
                  <a:schemeClr val="tx1"/>
                </a:solidFill>
              </a:rPr>
              <a:t> By Year</a:t>
            </a:r>
            <a:endParaRPr lang="en-IN" sz="1400">
              <a:solidFill>
                <a:schemeClr val="tx1"/>
              </a:solidFill>
            </a:endParaRPr>
          </a:p>
        </c:rich>
      </c:tx>
      <c:layout>
        <c:manualLayout>
          <c:xMode val="edge"/>
          <c:yMode val="edge"/>
          <c:x val="0.37588793376537616"/>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50000"/>
            </a:schemeClr>
          </a:solidFill>
          <a:ln>
            <a:noFill/>
          </a:ln>
          <a:effectLst/>
        </c:spPr>
      </c:pivotFmt>
      <c:pivotFmt>
        <c:idx val="10"/>
        <c:spPr>
          <a:solidFill>
            <a:schemeClr val="tx2">
              <a:lumMod val="50000"/>
            </a:schemeClr>
          </a:solidFill>
          <a:ln>
            <a:noFill/>
          </a:ln>
          <a:effectLst/>
        </c:spPr>
      </c:pivotFmt>
    </c:pivotFmts>
    <c:plotArea>
      <c:layout/>
      <c:barChart>
        <c:barDir val="col"/>
        <c:grouping val="clustered"/>
        <c:varyColors val="0"/>
        <c:ser>
          <c:idx val="0"/>
          <c:order val="0"/>
          <c:tx>
            <c:strRef>
              <c:f>'Pivot Tables'!$D$3:$D$4</c:f>
              <c:strCache>
                <c:ptCount val="1"/>
                <c:pt idx="0">
                  <c:v>Electronics</c:v>
                </c:pt>
              </c:strCache>
            </c:strRef>
          </c:tx>
          <c:spPr>
            <a:solidFill>
              <a:srgbClr val="084F6A"/>
            </a:solidFill>
            <a:ln>
              <a:noFill/>
            </a:ln>
            <a:effectLst/>
          </c:spPr>
          <c:invertIfNegative val="0"/>
          <c:cat>
            <c:strRef>
              <c:f>'Pivot Tables'!$C$5:$C$7</c:f>
              <c:strCache>
                <c:ptCount val="2"/>
                <c:pt idx="0">
                  <c:v>2025</c:v>
                </c:pt>
                <c:pt idx="1">
                  <c:v>2026</c:v>
                </c:pt>
              </c:strCache>
            </c:strRef>
          </c:cat>
          <c:val>
            <c:numRef>
              <c:f>'Pivot Tables'!$D$5:$D$7</c:f>
              <c:numCache>
                <c:formatCode>_ [$₹-4009]\ * #,##0.00_ ;_ [$₹-4009]\ * \-#,##0.00_ ;_ [$₹-4009]\ * "-"??_ ;_ @_ </c:formatCode>
                <c:ptCount val="2"/>
                <c:pt idx="0">
                  <c:v>63871.449999999983</c:v>
                </c:pt>
                <c:pt idx="1">
                  <c:v>46790.91</c:v>
                </c:pt>
              </c:numCache>
            </c:numRef>
          </c:val>
          <c:extLst>
            <c:ext xmlns:c16="http://schemas.microsoft.com/office/drawing/2014/chart" uri="{C3380CC4-5D6E-409C-BE32-E72D297353CC}">
              <c16:uniqueId val="{00000000-FD93-49FB-8CB9-E2B75775EFBF}"/>
            </c:ext>
          </c:extLst>
        </c:ser>
        <c:ser>
          <c:idx val="1"/>
          <c:order val="1"/>
          <c:tx>
            <c:strRef>
              <c:f>'Pivot Tables'!$E$3:$E$4</c:f>
              <c:strCache>
                <c:ptCount val="1"/>
                <c:pt idx="0">
                  <c:v>Furniture</c:v>
                </c:pt>
              </c:strCache>
            </c:strRef>
          </c:tx>
          <c:spPr>
            <a:solidFill>
              <a:srgbClr val="0B76A0"/>
            </a:solidFill>
            <a:ln>
              <a:noFill/>
            </a:ln>
            <a:effectLst/>
          </c:spPr>
          <c:invertIfNegative val="0"/>
          <c:cat>
            <c:strRef>
              <c:f>'Pivot Tables'!$C$5:$C$7</c:f>
              <c:strCache>
                <c:ptCount val="2"/>
                <c:pt idx="0">
                  <c:v>2025</c:v>
                </c:pt>
                <c:pt idx="1">
                  <c:v>2026</c:v>
                </c:pt>
              </c:strCache>
            </c:strRef>
          </c:cat>
          <c:val>
            <c:numRef>
              <c:f>'Pivot Tables'!$E$5:$E$7</c:f>
              <c:numCache>
                <c:formatCode>_ [$₹-4009]\ * #,##0.00_ ;_ [$₹-4009]\ * \-#,##0.00_ ;_ [$₹-4009]\ * "-"??_ ;_ @_ </c:formatCode>
                <c:ptCount val="2"/>
                <c:pt idx="0">
                  <c:v>92659.62</c:v>
                </c:pt>
                <c:pt idx="1">
                  <c:v>55446.42</c:v>
                </c:pt>
              </c:numCache>
            </c:numRef>
          </c:val>
          <c:extLst>
            <c:ext xmlns:c16="http://schemas.microsoft.com/office/drawing/2014/chart" uri="{C3380CC4-5D6E-409C-BE32-E72D297353CC}">
              <c16:uniqueId val="{00000003-B135-4C4F-A9A7-5CD7FF8D28E8}"/>
            </c:ext>
          </c:extLst>
        </c:ser>
        <c:ser>
          <c:idx val="2"/>
          <c:order val="2"/>
          <c:tx>
            <c:strRef>
              <c:f>'Pivot Tables'!$F$3:$F$4</c:f>
              <c:strCache>
                <c:ptCount val="1"/>
                <c:pt idx="0">
                  <c:v>Office Supplies</c:v>
                </c:pt>
              </c:strCache>
            </c:strRef>
          </c:tx>
          <c:spPr>
            <a:solidFill>
              <a:schemeClr val="tx2">
                <a:lumMod val="50000"/>
              </a:schemeClr>
            </a:solidFill>
            <a:ln>
              <a:noFill/>
            </a:ln>
            <a:effectLst/>
          </c:spPr>
          <c:invertIfNegative val="0"/>
          <c:cat>
            <c:strRef>
              <c:f>'Pivot Tables'!$C$5:$C$7</c:f>
              <c:strCache>
                <c:ptCount val="2"/>
                <c:pt idx="0">
                  <c:v>2025</c:v>
                </c:pt>
                <c:pt idx="1">
                  <c:v>2026</c:v>
                </c:pt>
              </c:strCache>
            </c:strRef>
          </c:cat>
          <c:val>
            <c:numRef>
              <c:f>'Pivot Tables'!$F$5:$F$7</c:f>
              <c:numCache>
                <c:formatCode>_ [$₹-4009]\ * #,##0.00_ ;_ [$₹-4009]\ * \-#,##0.00_ ;_ [$₹-4009]\ * "-"??_ ;_ @_ </c:formatCode>
                <c:ptCount val="2"/>
                <c:pt idx="0">
                  <c:v>63380.810000000012</c:v>
                </c:pt>
                <c:pt idx="1">
                  <c:v>50974.53</c:v>
                </c:pt>
              </c:numCache>
            </c:numRef>
          </c:val>
          <c:extLst>
            <c:ext xmlns:c16="http://schemas.microsoft.com/office/drawing/2014/chart" uri="{C3380CC4-5D6E-409C-BE32-E72D297353CC}">
              <c16:uniqueId val="{00000004-B135-4C4F-A9A7-5CD7FF8D28E8}"/>
            </c:ext>
          </c:extLst>
        </c:ser>
        <c:dLbls>
          <c:showLegendKey val="0"/>
          <c:showVal val="0"/>
          <c:showCatName val="0"/>
          <c:showSerName val="0"/>
          <c:showPercent val="0"/>
          <c:showBubbleSize val="0"/>
        </c:dLbls>
        <c:gapWidth val="240"/>
        <c:overlap val="-43"/>
        <c:axId val="678075120"/>
        <c:axId val="678076080"/>
      </c:barChart>
      <c:catAx>
        <c:axId val="67807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78076080"/>
        <c:crosses val="autoZero"/>
        <c:auto val="1"/>
        <c:lblAlgn val="ctr"/>
        <c:lblOffset val="100"/>
        <c:noMultiLvlLbl val="0"/>
      </c:catAx>
      <c:valAx>
        <c:axId val="67807608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67807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Tables!CustomerCountByYear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Count By Year</a:t>
            </a:r>
            <a:endParaRPr lang="en-US" b="1">
              <a:solidFill>
                <a:schemeClr val="tx1"/>
              </a:solidFill>
            </a:endParaRPr>
          </a:p>
        </c:rich>
      </c:tx>
      <c:layout>
        <c:manualLayout>
          <c:xMode val="edge"/>
          <c:yMode val="edge"/>
          <c:x val="1.3983760249426345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84F6A"/>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B76A0"/>
          </a:solidFill>
          <a:ln w="19050">
            <a:noFill/>
          </a:ln>
          <a:effectLst>
            <a:outerShdw blurRad="50800" dist="38100" dir="2700000" algn="tl" rotWithShape="0">
              <a:prstClr val="black">
                <a:alpha val="40000"/>
              </a:prstClr>
            </a:outerShdw>
          </a:effectLst>
        </c:spPr>
      </c:pivotFmt>
      <c:pivotFmt>
        <c:idx val="6"/>
        <c:spPr>
          <a:solidFill>
            <a:srgbClr val="084F6A"/>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34420914972558814"/>
          <c:y val="0.12892429549868581"/>
          <c:w val="0.39179384704948977"/>
          <c:h val="0.87107570450131422"/>
        </c:manualLayout>
      </c:layout>
      <c:doughnutChart>
        <c:varyColors val="1"/>
        <c:ser>
          <c:idx val="0"/>
          <c:order val="0"/>
          <c:tx>
            <c:strRef>
              <c:f>'Pivot Tables'!$S$3</c:f>
              <c:strCache>
                <c:ptCount val="1"/>
                <c:pt idx="0">
                  <c:v>Total</c:v>
                </c:pt>
              </c:strCache>
            </c:strRef>
          </c:tx>
          <c:spPr>
            <a:solidFill>
              <a:srgbClr val="084F6A"/>
            </a:solidFill>
            <a:ln>
              <a:noFill/>
            </a:ln>
            <a:effectLst>
              <a:outerShdw blurRad="50800" dist="38100" dir="2700000" algn="tl" rotWithShape="0">
                <a:prstClr val="black">
                  <a:alpha val="40000"/>
                </a:prstClr>
              </a:outerShdw>
            </a:effectLst>
          </c:spPr>
          <c:dPt>
            <c:idx val="0"/>
            <c:bubble3D val="0"/>
            <c:explosion val="6"/>
            <c:spPr>
              <a:solidFill>
                <a:srgbClr val="0B76A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369-4364-96D0-A0C0E24CC32F}"/>
              </c:ext>
            </c:extLst>
          </c:dPt>
          <c:dPt>
            <c:idx val="1"/>
            <c:bubble3D val="0"/>
            <c:spPr>
              <a:solidFill>
                <a:srgbClr val="084F6A"/>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369-4364-96D0-A0C0E24CC32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Tables'!$R$4:$R$6</c:f>
              <c:strCache>
                <c:ptCount val="2"/>
                <c:pt idx="0">
                  <c:v>2025</c:v>
                </c:pt>
                <c:pt idx="1">
                  <c:v>2026</c:v>
                </c:pt>
              </c:strCache>
            </c:strRef>
          </c:cat>
          <c:val>
            <c:numRef>
              <c:f>'Pivot Tables'!$S$4:$S$6</c:f>
              <c:numCache>
                <c:formatCode>General</c:formatCode>
                <c:ptCount val="2"/>
                <c:pt idx="0">
                  <c:v>8</c:v>
                </c:pt>
                <c:pt idx="1">
                  <c:v>9</c:v>
                </c:pt>
              </c:numCache>
            </c:numRef>
          </c:val>
          <c:extLst>
            <c:ext xmlns:c16="http://schemas.microsoft.com/office/drawing/2014/chart" uri="{C3380CC4-5D6E-409C-BE32-E72D297353CC}">
              <c16:uniqueId val="{00000004-F369-4364-96D0-A0C0E24CC32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0087422077493742"/>
          <c:y val="0.33175958995665589"/>
          <c:w val="0.14916944185064174"/>
          <c:h val="0.31939276557928581"/>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Tables!SaleByMonth</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a:t>
            </a:r>
            <a:r>
              <a:rPr lang="en-IN" b="1" baseline="0">
                <a:solidFill>
                  <a:schemeClr val="tx1"/>
                </a:solidFill>
              </a:rPr>
              <a:t> By Month</a:t>
            </a:r>
            <a:endParaRPr lang="en-IN" b="1">
              <a:solidFill>
                <a:schemeClr val="tx1"/>
              </a:solidFill>
            </a:endParaRPr>
          </a:p>
        </c:rich>
      </c:tx>
      <c:layout>
        <c:manualLayout>
          <c:xMode val="edge"/>
          <c:yMode val="edge"/>
          <c:x val="0.3230839796077446"/>
          <c:y val="6.49768590288671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64392897612915"/>
          <c:y val="0.15652925340054091"/>
          <c:w val="0.80419310516530895"/>
          <c:h val="0.55533623733846604"/>
        </c:manualLayout>
      </c:layout>
      <c:barChart>
        <c:barDir val="col"/>
        <c:grouping val="clustered"/>
        <c:varyColors val="0"/>
        <c:ser>
          <c:idx val="0"/>
          <c:order val="0"/>
          <c:tx>
            <c:strRef>
              <c:f>'Pivot Tables'!$Y$3</c:f>
              <c:strCache>
                <c:ptCount val="1"/>
                <c:pt idx="0">
                  <c:v>Total</c:v>
                </c:pt>
              </c:strCache>
            </c:strRef>
          </c:tx>
          <c:spPr>
            <a:solidFill>
              <a:srgbClr val="084F6A"/>
            </a:solidFill>
            <a:ln>
              <a:noFill/>
            </a:ln>
            <a:effectLst/>
          </c:spPr>
          <c:invertIfNegative val="0"/>
          <c:cat>
            <c:strRef>
              <c:f>'Pivot Tables'!$X$4:$X$16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Tables'!$Y$4:$Y$16</c:f>
              <c:numCache>
                <c:formatCode>0.00,\ "K"</c:formatCode>
                <c:ptCount val="12"/>
                <c:pt idx="0">
                  <c:v>459683.83</c:v>
                </c:pt>
                <c:pt idx="1">
                  <c:v>220445.71000000002</c:v>
                </c:pt>
                <c:pt idx="2">
                  <c:v>205661.83</c:v>
                </c:pt>
                <c:pt idx="3">
                  <c:v>397359.95999999996</c:v>
                </c:pt>
                <c:pt idx="4">
                  <c:v>244799.92000000004</c:v>
                </c:pt>
                <c:pt idx="5">
                  <c:v>97259.09</c:v>
                </c:pt>
                <c:pt idx="6">
                  <c:v>26196.17</c:v>
                </c:pt>
                <c:pt idx="7">
                  <c:v>124879.94</c:v>
                </c:pt>
                <c:pt idx="8">
                  <c:v>150721.41</c:v>
                </c:pt>
                <c:pt idx="9">
                  <c:v>159510.62999999998</c:v>
                </c:pt>
                <c:pt idx="10">
                  <c:v>157980.44</c:v>
                </c:pt>
                <c:pt idx="11">
                  <c:v>61007.869999999995</c:v>
                </c:pt>
              </c:numCache>
            </c:numRef>
          </c:val>
          <c:extLst>
            <c:ext xmlns:c16="http://schemas.microsoft.com/office/drawing/2014/chart" uri="{C3380CC4-5D6E-409C-BE32-E72D297353CC}">
              <c16:uniqueId val="{00000000-FDB6-4CBF-AA9F-71FE137C5D83}"/>
            </c:ext>
          </c:extLst>
        </c:ser>
        <c:dLbls>
          <c:showLegendKey val="0"/>
          <c:showVal val="0"/>
          <c:showCatName val="0"/>
          <c:showSerName val="0"/>
          <c:showPercent val="0"/>
          <c:showBubbleSize val="0"/>
        </c:dLbls>
        <c:gapWidth val="99"/>
        <c:overlap val="-31"/>
        <c:axId val="388046320"/>
        <c:axId val="388031920"/>
      </c:barChart>
      <c:catAx>
        <c:axId val="38804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388031920"/>
        <c:crosses val="autoZero"/>
        <c:auto val="1"/>
        <c:lblAlgn val="ctr"/>
        <c:lblOffset val="100"/>
        <c:noMultiLvlLbl val="0"/>
      </c:catAx>
      <c:valAx>
        <c:axId val="388031920"/>
        <c:scaling>
          <c:orientation val="minMax"/>
        </c:scaling>
        <c:delete val="0"/>
        <c:axPos val="l"/>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804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Tables!TopCustomerProfit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 Profit</a:t>
            </a:r>
            <a:endParaRPr lang="en-US" b="1">
              <a:solidFill>
                <a:schemeClr val="tx1"/>
              </a:solidFill>
            </a:endParaRPr>
          </a:p>
        </c:rich>
      </c:tx>
      <c:layout>
        <c:manualLayout>
          <c:xMode val="edge"/>
          <c:yMode val="edge"/>
          <c:x val="0.2883105188594819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96686482917205"/>
          <c:y val="0.1009950791148561"/>
          <c:w val="0.70205497113514859"/>
          <c:h val="0.75914346529839627"/>
        </c:manualLayout>
      </c:layout>
      <c:barChart>
        <c:barDir val="bar"/>
        <c:grouping val="clustered"/>
        <c:varyColors val="0"/>
        <c:ser>
          <c:idx val="0"/>
          <c:order val="0"/>
          <c:tx>
            <c:strRef>
              <c:f>'Pivot Tables'!$V$3</c:f>
              <c:strCache>
                <c:ptCount val="1"/>
                <c:pt idx="0">
                  <c:v>Total</c:v>
                </c:pt>
              </c:strCache>
            </c:strRef>
          </c:tx>
          <c:spPr>
            <a:solidFill>
              <a:srgbClr val="084F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Tables'!$U$4:$U$9</c:f>
              <c:strCache>
                <c:ptCount val="5"/>
                <c:pt idx="0">
                  <c:v>Priya Singh</c:v>
                </c:pt>
                <c:pt idx="1">
                  <c:v>Anjali Mishra</c:v>
                </c:pt>
                <c:pt idx="2">
                  <c:v>Rohit Yadav</c:v>
                </c:pt>
                <c:pt idx="3">
                  <c:v>Vikas Kumar</c:v>
                </c:pt>
                <c:pt idx="4">
                  <c:v>Amit Sharma</c:v>
                </c:pt>
              </c:strCache>
            </c:strRef>
          </c:cat>
          <c:val>
            <c:numRef>
              <c:f>'Pivot Tables'!$V$4:$V$9</c:f>
              <c:numCache>
                <c:formatCode>0.00,\ "K"</c:formatCode>
                <c:ptCount val="5"/>
                <c:pt idx="0">
                  <c:v>98910.5</c:v>
                </c:pt>
                <c:pt idx="1">
                  <c:v>46633.400000000009</c:v>
                </c:pt>
                <c:pt idx="2">
                  <c:v>45085.020000000004</c:v>
                </c:pt>
                <c:pt idx="3">
                  <c:v>42295.3</c:v>
                </c:pt>
                <c:pt idx="4">
                  <c:v>41797.71</c:v>
                </c:pt>
              </c:numCache>
            </c:numRef>
          </c:val>
          <c:extLst>
            <c:ext xmlns:c16="http://schemas.microsoft.com/office/drawing/2014/chart" uri="{C3380CC4-5D6E-409C-BE32-E72D297353CC}">
              <c16:uniqueId val="{00000000-EE68-477A-B28A-68190337871F}"/>
            </c:ext>
          </c:extLst>
        </c:ser>
        <c:dLbls>
          <c:dLblPos val="outEnd"/>
          <c:showLegendKey val="0"/>
          <c:showVal val="1"/>
          <c:showCatName val="0"/>
          <c:showSerName val="0"/>
          <c:showPercent val="0"/>
          <c:showBubbleSize val="0"/>
        </c:dLbls>
        <c:gapWidth val="142"/>
        <c:overlap val="-50"/>
        <c:axId val="254127088"/>
        <c:axId val="254110768"/>
      </c:barChart>
      <c:catAx>
        <c:axId val="25412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54110768"/>
        <c:crosses val="autoZero"/>
        <c:auto val="1"/>
        <c:lblAlgn val="ctr"/>
        <c:lblOffset val="100"/>
        <c:noMultiLvlLbl val="0"/>
      </c:catAx>
      <c:valAx>
        <c:axId val="254110768"/>
        <c:scaling>
          <c:orientation val="minMax"/>
        </c:scaling>
        <c:delete val="0"/>
        <c:axPos val="b"/>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5412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Category Sales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a:rPr>
            <a:t>Category Sales</a:t>
          </a:r>
        </a:p>
      </cx:txPr>
    </cx:title>
    <cx:plotArea>
      <cx:plotAreaRegion>
        <cx:series layoutId="funnel" uniqueId="{3FF44685-D67E-4EB3-A81B-473FA520409D}">
          <cx:spPr>
            <a:solidFill>
              <a:srgbClr val="084F6A">
                <a:alpha val="53000"/>
              </a:srgbClr>
            </a:solidFill>
          </cx:spPr>
          <cx:dataLabels>
            <cx:txPr>
              <a:bodyPr vertOverflow="overflow" horzOverflow="overflow" wrap="square" lIns="0" tIns="0" rIns="0" bIns="0"/>
              <a:lstStyle/>
              <a:p>
                <a:pPr algn="ctr" rtl="0">
                  <a:defRPr sz="12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sz="1200"/>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sz="1200">
              <a:solidFill>
                <a:schemeClr val="tx1"/>
              </a:solidFill>
            </a:endParaRPr>
          </a:p>
        </cx:txPr>
      </cx:axis>
    </cx:plotArea>
  </cx:chart>
  <cx:spPr>
    <a:noFill/>
    <a:ln>
      <a:noFill/>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umDim>
    </cx:data>
  </cx:chartData>
  <cx:chart>
    <cx:title pos="t" align="ctr" overlay="0">
      <cx:tx>
        <cx:txData>
          <cx:v>Sales By State</cx:v>
        </cx:txData>
      </cx:tx>
      <cx:txPr>
        <a:bodyPr vertOverflow="overflow" horzOverflow="overflow" wrap="square" lIns="0" tIns="0" rIns="0" bIns="0"/>
        <a:lstStyle/>
        <a:p>
          <a:pPr algn="ctr" rtl="0">
            <a:defRPr sz="1400" b="0" i="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IN" sz="1400" b="1">
              <a:solidFill>
                <a:schemeClr val="tx1"/>
              </a:solidFill>
            </a:rPr>
            <a:t>Sales By State</a:t>
          </a:r>
        </a:p>
      </cx:txPr>
    </cx:title>
    <cx:plotArea>
      <cx:plotAreaRegion>
        <cx:series layoutId="regionMap" uniqueId="{955FA285-A065-4D38-B06C-792FE76E1CFC}">
          <cx:tx>
            <cx:txData>
              <cx:f>_xlchart.v5.4</cx:f>
              <cx:v>Sales</cx:v>
            </cx:txData>
          </cx:tx>
          <cx:dataId val="0"/>
          <cx:layoutPr>
            <cx:regionLabelLayout val="showAll"/>
            <cx:geography projectionType="mercator" cultureLanguage="en-US" cultureRegion="IN" attribution="Powered by Bing">
              <cx:geoCache provider="{E9337A44-BEBE-4D9F-B70C-5C5E7DAFC167}">
                <cx:binary>1H1rc9w20u5fSfnzoUPcga3NW3U4w6Eky45vieN8YSm2zDsJAgRvv/70OJeSEMnaRW2detdfUtFo
mmB3P92NxoPWPz+t//jU3t6Y79au7e0/Pq0/PCunSf/j++/tp/K2u7HPu+qTGezwZXr+aei+H758
qT7dfv/Z3CxVX3yPY0S//1TemOl2ffY//wRpxe1wPXy6maqhf+Nuzfb21rp2st/47MGPvrv53FX9
sbKTqT5N6Idnx9u2rJ59d9tP1bS93/TtD8/u/cqz7773Bf3tod+1sK7JfYbvYvmcU0JUzHn89R96
9l079MUfHwvxHCFGhWRIff3H/3z0q5sOvv7kar6u5ebzZ3NrLbzL1//+9bV7C4efXj/77tPg+ums
rQIU98Ozy/5zdfPsu8oOh98/OAznVV+++vqa39/X8//80/sBvLj3kzum8LX01Ed/s8Tbm/rGTuVN
/6dK/gPW4M+ZpIxzhH+3Br5vDfJcUgW2Un9Yg/356N+t8S+t6GGL3PmqZ5W3V/9VVslcfWNupj8V
8x+wCX7OFeZI0D9s4iEEPWdKxBxg8iBC/oX1PGyRv77o2SP777LHyxuIije2nAzg+D8VtZB6ThmO
JWHqwajFn6NYKoIBLF//eTj5F9f0sF3ufdmzzcuL/yqsvLgx/c100/wnLUOfCxRTTB9BC1iGC4UY
pJyv/8ifTvF7BPuXVvSwXe581bPKi//7v9oqD6e8u1C59xv/boLHzwnDkgsEqr6b2dVzwsEKjP8B
IXrfEn9k3seX8bAV/vjavRX/707jP00TlH2vzc3nW1v+qYP/QNrgzxUmDPLC7xEqvp82ZPwc0vzZ
Mg8D4V9e1cNm8L7uAeKn1/9/AfF4EfZXaXqEOJR+rWnv1GHf/vTrm0OZ7X31XpK554d/Gvfy8w/P
0BkOf1XKZxF/fO/3OHTP+//6/Vuo9354psRzipAgjBHKIZhx9ey75fb8CZfPkYJKWcaQlySOCdi8
H8xU/vCMiOexEJwpDtUbgbwFcLODO3/EnwseU6KkwIIirhT+awfxemi3Yuj/0sMf//9d77rXQ9VP
9odnIEf//lvnZUYYUUEFYwpSnv508xY2J/BL6P/YfM2HplL8okRHxX60M5QRf73/vyH3/Lw7chWu
Zm7bVaQTK9sy2fdt+1Bivv5eof9eoP8b4sEqd8XXImq2Ze1FWprRmLcL3+PifbHuw5dvLx/2KQ+q
BQrqu/JVtzfSNTlPFWZ2f6NRp+KkJDVDSUzjDieUjFN++vbDHrMBmP/uwyzYvl6KnqerJZIkMiaF
SYaNy1+/LV888jLxfflCjbGu1cZThzR9idBCu3dLXMf8epNTv2aR2LlJum3Ub7/9wEdeSIKn330h
LWM9i/MD51aJ9WooXe4O1LqySr/9gLOgB7xWyvsPkNW+xJMjLF0aK5YrvpEcH3RjcXnNmrLGL5Fr
XHMY7dhvIolbisZT3JezgULsW979iHtw7/mdmhdWu0JkXWvH/K3outH9TMZdxVdTVCrxBuBJ+OW3
H4bOdnrobc92vYMlLTrbMLux1BXFPB4klpkg6ItuyLg0yVgsc5e4TUTXw1KgJnV4GGSfRIXEHWyd
v/W+jxn0rIc7K2iLrZtbtoC+JWYHYoYvgi3VE8p8TLgXggYIC4vcJpZumxW/xMM2JPns6h/Dln5+
6t2ly7rilhiWNqSqbmNo1Vz3UdW4Q5h4LxAN0cL0WDKWtpOYf0bLSJM130VYmJNeGDLtUmuNR5ZO
Q7TvabxGszlyPQwicPle6MFrgeTW1hB6Burqw8b5SpNxBNweg/TDvdjTGsLRttYiM5FesmJCtE0K
IovPQeKlJx7XW9QPVkdZP2yCv7YV7Ch/7qYp+hIkX3iRzMrYxcvKZLYPqEu3gkYmWavGmif0f/bx
B6AtvECihoa2Dm95NkRy706LQXpO22VD1XGsSqoCH+NFEEKHXC46Etk0OTxd9Hzo43TvUbumupqW
NQzJwgsT4zCPOVk7mWnc7O8bs5U/9oKr99+2xWO68uLE0qwSLVBCZThaq7S1RpDrgm7D+KFhslmf
UNU5LjxkkfPP78SLUha6kULLzLR0u4y6Pf5RFci0ybdf4jHx5L74Ia+2GJTDMydGvCZxvdKPfB90
GibeCxhuFoOQ0LTN5hYsMLVFl1IXCR24ei9cuIr0W7vVMqN2bsAGm1yjxMZbtQc+wMNzoyI2qhW0
r1A39pcasX5JTS325XWQgs5F+F3zCrwRi6KVZ8qW1c9CWvt6rYpxC1s/94AmNgM985iJTBM6VRfT
TlaVlE23xGEQ4x7E1mob+YSNyBpbaHppOzzLpHbUPJWNz5HnAf/nHsq2oi7ibgETj/mmzbEuiBCv
u2if+VUx5V2TrgXe+l/aTpJfXV8sfWCVwz3gtWuRi2FfIBS2stVXZWRzARuHRkHVKKelplPST/U+
H6qS6+7UrHshjpwuZHg3xxN3gQr2ALrlPBKyifKsE5E7kmoRmRQtecI/0BkpD6kX3/c/Nk9rNeJR
ZSTezZDuKJ+nlOX73l5oRcT2Y2G74YuO6NJd0F327NVKCO5fYiFl/YtsMGNPLOWRSMQ9LMu+ZnpY
KpppkVty4Lu61eu6jGFxlHlAc8hwWdcFzQq9yo8M0s8rG0ddWJxjZ++9E6VHUvR1FAmVsRZ2MgeH
ZLcnrjKbfcINHoEB84Bsq3FjeDUym7Ylx5eSGhP/tmoEkChxGQ9JXzndJXjnuviku93iQL15ACdL
34KVDc+4zDuX6BHbLtkcjQJDLPMAvtO9GR03InUjQynf5uK48yE6BsVX5qGY5yru63HdM+uKKdt7
USfc6PqJIPGIzzIPnBzFZbTCPiurcdUd8ITqY74NONCpPGzCRmSQqBr2DMO+MYlL9KEv6FOV3mNL
9+CGuO7p2hZ7Vohteum2Pob8OZaoDvQbL3OWtZs0MdueRXmnLvG8NsecSJoFmZV6aCZ6ZnpqQPqU
Y3pYiLCJ7VAVtnbqoVn2eJezALNGEy4PDXFzwhtBwwId9aBcx5GJl9zu2Yiq9mRVXxxmRvfTtzVz
hs0DAZ16eO1zVu47ipZsidgt7ASb+USnRvfZtAge+AYeZMks5r5u8iUjANy3ahrqFNGhCdshUw+y
Uw+1yrLzJRvgiPlSKuaO9dYHhhvqQRZNXZvLvXZZYVv6omo78VKvbeDSPcRCJs2bBpEpG4c6RwfD
sD2Icm3K47eN+whoqQdalhe2iXbovOi+Wq+aqZiuXZ63gaDyIAv90WhGrp5OxhWLfUeWWLY/MiN5
GeY3xENtg6p5LGa8Qs3m9kOj2cdNbf0Tjv+IbogHWlZHDZUyn9OxLVFCrMPJqJQLXLoHWqJrivNa
zqD56KPBUID1as3DzEo8zDZ6N1Fk+R9Lp3jECZt56NJ9tDKZO1miOVULNI3xWboNV8zZHHcqnyae
dd5akL7Wqjw42biEc1wHqt1Da0mZHGIcg3SKb8eKtqeiKgKbTcRDawMcKlkVIFztrstaoQxsjfga
VhucD1HuKmadiMjbrZlTNuVLsqIZJ0jnU1iKIh5Wu1LjfiCxS/t575OlrG5dvaMwrWMPp3Y3kx7K
xaVdU9KEU/Yxmi0OFO7hNM6ZIVsZTakY4/5o1+rGut0GCvdgOlq11lAJu7Tmqkx4XbWJM1gESvdw
KkgdFVWkYOnKoZcWjkde56Jow46osIfT1VHcU5Cc7QgYfMneS86O0RRJG+Yz2IMqHlfVOV3M2Ua7
3iQR0SzTC54+BSUn7GEVVTk2w9pBZs1te6Vqi462qbc0TDq+Dydnck2KjblsUuRXVOM3lpI3YaJ9
pNqt7rYtmrKqjF5BePy4YRHYX8MeTlVVdQL1YsrqpZRHV7L3Q5MPYQZFHk77xkZGSeeyqJqqQ1uL
a4HHOMzZkYdTOBZetF1llPbt+rna0AfMuhdBCkceSmW1FBHk6y0DsXZKdmxLnmyWFGGhF3k4nQvm
yoaaKQPuTvwLnSAOJLbaUVilgTygurHFcZsPLusGsx+HVfxWVjoPVLsH0lxWo5gr4zK2me3QdRqW
3jx18noW8sDm4EweuJuTVM9ppaNuyuC0X72UtkAv2yjXH8LM6kEUT3gywP8FdyzzMiHd8ouQVaBJ
PYzudFB1XjYuM2wmCZLrx3aUr8PW7WGULnRdKgKyo9q+p257yah9GSQ69hA6LHleTKSY0jiPokNU
59fVHgf2B2IPoQhpLfYIRymP1Y/dJj5Ks7VhoSX2IBqVUKebAXTSlv2boRhOeVeGRfLYQyfVy0ZW
aHqnwz5fmAW/oCwsg8YeMPXGJj5o2NvxrriWw5r1Jg87+Yw9WFbttJbOwaJ199M+u0Mtfg7zEA+S
raqN3hswIi2b38yq3sidh8Wp2MOjG+dm3RY+ZZut0ft9m3BWO2KPYQv3EEn6fO3rSk2ZjeB0H/fN
hcrVL2GyPUQ2bWUZ8DOjlFVQ3UYxv6GKhCU24NbeD4Lg2OPYxpCSy4qvCbM0Oiol5iDgUOWBUtpZ
TJTNUTryd2Y4SjhfDtEJVR4iy6Ic6VhuU+Yk8CsWYnWCRv4+TLiHyQXII9vW5zZFpb5YWjhuH0k9
BXkK9Tldxrm4iVoQLlv2mjj9qaKbCdSKh0tF2RaPUtnUdOQ1A9mrm0Nle9BESyUIWRG0jTGJr50s
6quRrjxQKx46S0vnFupZcBS282SP659aXgYVWFR52FyVo0ujAPkr2ab6ENOcD0cMFVAVFFqo8gCq
l47mwKKYsoLqm2iZP8Dhw09BruiTtWZCYsMJ6MW5gh1H11QJkVgE1RHQELoPflPOAvrRKyx8XV+7
Ib5a5zEQodJDaN2JmIqS2Ew25GULhMNUCoHDNC49hLrCAOfSzVMW6/YNjdpDbcqgIoVKL20aFvVb
QTqbYczwYemQOSBafwkzpwfQDU4UrOwmCwwA/rGw61Ul2Lsw0R4+VzPljcSRyTbULkk7iPHUd3UY
dYH6XKeBLb2agV+TwRHSfuz34ZUgNuxcnkoPoE5j25RoMdkA/JQ2sc5EL6I53t6GacaD5xIRiIrU
gUXn7bOFCm618rcg0T4DaYLEU2o+2KzhxdtV68u468L80CcfzblseN1Sk+3zWKbzUuBj1Pafwtbt
gbPaaW7N2thMlfrQ0O1VJ58qO884+fuuivo0oyWCfvCshcnKbmYuMYLXL0eu12SpsdsOYev3QMqa
fu2bgZmsrcivbUk/RLp5Hybag+gKJMSWi9wA/md7MVuDEjTTsKM6KjyUFrhklSEYFk7Rh26O+oRG
+uewlfs5dB11Y+LSZgxXdEl34jaa9LItm7AkLTyc0rIopJMtuOQavak6/L4aw/biVHgYbSs2woYZ
ROebejPF1Y854UHHUNQnFbVyy7tx3kxG8g5nkcTTG1QsVRD5lvpkYyzmmM0VeGIe71uymTEjNJDR
RX3CUrfm0bTa0mT9rOMknsVpXIqw7jDcerif/CdDnaMKVA7h8cW84RctW8Mw5NOU1FK0rh4Lk4m8
6BOxby+UqcLOzahPRVLgJfGKG5OhYX5N0Hht4ilw3R46TQWnE3yJxsxy+aFC5k3bjEGbOMo9cOYr
7ZpC1ybjoJlEAS88GbdOhsVDny40kXqM6kGNcG5TjgeDmzcuUmElqE8SjmPYZ/UsHrOiIl2dLNCo
SF0c8TDF+FSkulZAG6s3wI3auoN0nL9tq3gPs6hPRZprxnMgw43Zrgw+IEtfQSYNOz2nPg3JRb0c
2DqAuwyKxg3E2q2xZSLV3AT1cOCE/z5GgT8bq2LtQfdFuYhDD82zLM/pGHaOQH260dY4J02X60xG
thkP86K7L06JJXDT6BOOUIdjuqhIZ6bc7LEreJ2AhtgpKOH5hCMh1lXGc6wz13J8iDkQvwnsfpMw
6R5ipxa48Zb0OrNUFFOCdtzcNNvaF4HyvWy6VoabZQXdDGU9JNXU/bS2KCznMT+d4mHpIuFA773U
F5uN7Wlph/IiSDM+32gmM9l0u+isztn+IR7y4gKmTegmTDE+4YhAnGR4A7OqPh/tSThJaMLygY+B
D/CqXziMa4Zez6B5YpdLY+RP5diG9eapTzkSTYeBBGx0Juj0rirsm6WZ3oXp3at6i3xbSNsWYyZ6
9Ws/LCgpKX2K/Eofrtt9otEILXMZuU5nxNTyVwGHCheu6eZAl/Ey6xRH67YTNmSAVJVwoL4k0RaJ
NEwxHlTNFsEZfQvS2by5hCF91fRPsZi+lqAPbGh8mtFYrUCvk3jIZt4UeQKnxTUEG1GtzaHoVNFc
dHpb3rnOtpfEkohnU1mO7D1ccRPja+j/WfNOiY5fNHAuOVzUTU95ItoKmvHFOsp4SXZaj+anZcSR
O8Tb2Dc3Q1lG44FDYYmPiEGvPRXare7YIuiSHTicUq+XboxknWGxlvQyH+plO6AYugm/RMDs3U6I
1FYciVhB5tJW034qRlVauG2Hd3fqMF73o5070v+6Ckrz1xPlUf2bRWwcM7ljNWdmhfc96mlnaR3P
TB56gVFz4Jso3EWBhkJdc9nDVa143PE7LNWSzJibS11Zs2fxoOR2Wrp2psfZ0IKls1gotLDbcqaH
otXdAPWsUttBmoqIpBsqg14sfV6ry5agiWY7aHs5MNLMl/seda9MP8f0SON53pM6N/n+rkX1IMKq
EJ/9MvbVBPx2NWQKmm0Jw/V1uRdht1aoT36J4dUYlXrItkHn3XGIlzpbx7gKrP6oF+27lTreODJk
nJUDtKyiBBdEhQVLn6ZGaL5BFdzqrOTdbU6bd7moApUu71c3MxwjrS2GdTOXZ1a1VzlDYZ1N4oV4
NgOtBkH7K8NKrUkeqSZRLRoCdeKVZSYuCG/gxDErcF0nazN+4bUJq1iJF+RruJs79yIeMrc5/Qqu
f1UXA5m6sDhMztH/DkGt5FXsesxtVpiGXlMovuFegZs+BsVh4kV50xXzPOt5yBpZuJ+NHHc4iejl
FKh2z89RX6E9ImBUXnRsTbHt3Z6IiDXjMWj9PtVr6sYlj8ppyOCg6sui6RWLbNiVC4o9Z9duMfO4
iSErYwU8ssmKtT0QVeMvYWv3PH5m405mh3XWjmqXiRhGAmfsEuMwLgbFntMvum9RvBZQIMDctMSJ
pU6rqgosEHy+lxZLXu8FpHA4ozEHYJTxg46WOAtTjuf2Swy3l1nVD3ATtW2vOJnZlPDR8DB+P/XZ
XrbuCyAyDRDJeieuyp7Ev8KedgtrBWOvvBFrN+6dhXoVWlnrZU5zl4l4EoFO7+1DMGmdqs4Bvq66
4mCXsUjc1HVhmPUpX8ig1a2wT86irSe3JbDNb/fOdWHMT+qTvhgmfV3Wjc4YF3N02ageHeJ8WdgT
Z4ePXO+nPvEL7oPmOW9ln+0tIua9bqp5OOSix/q42CF6DzfCXkWRausjVHGNOhQKNqOnMmJsCLO+
zw+Di7Q8djXUn8s2lvIQdTUMoOjKXrdh22ifIMZjssOe5RyZ8gnlL7qqgBvh27hNcVh3yqeI7bEz
cCUV9xkhqGqSdakXmtQNnQNrFOTBm9u9Mz2GB2wOA215dx+Avf8pKHT4LLF26rZJub3PtOntYS3I
l31ioQv3kF2MO7K2EV0Gte2pxc0VxjasBfD1juOdTN9FUVwsMEEkm+hsD01E4ahh2d+GKcXLxFPZ
mgItc5/lzsjUlbhIOlYFpkqfJ7YIGCPZg0WzyqzRb129kE8mgnQTtHafKGZr2g+0R10G5corMe8v
2rF4YpbL2d8e2Cr6PLFihXNGboY+sysur1BrZAIjMZewJOZTxZaGV3JuSJeRRg5FUks5XpXC9WUY
TH3CGFXrQHgfd5lgfX0YlbxoKNrC8oBPGTO6L4pcVX2maLlcW9PRg5jq+c23bXoujh9SvFd4qqXZ
5gVBfm93OkLVHNtCpW2MhiHlsDHqg2osmLN2v3qGgRx5rifTZrsRv8FG/WUnyg/ffoOHXYecR0nd
LczpHMPRIFzHghuCQ14no3Xz7ULGsNkARHkKqqBW7su8bzOlZQ7dHSsvO85cEKQIDLu6t/gB127d
DSw+L0rY4yOsE5j5EBYOiM/fUXwXG7PQ7EDLhLZjX8Hh76Hu+3oO2izCDID7y5fzkmsoI9oMlXw7
yiKOXw9weSooVkID+r70jVewI1/G6FigYh2u6hjFrzDWzAWtnvrERrnxXHJSDFnsyKQT8KL6HO9j
NRxDXJOeh97ddc0uquw4qwoCJsPv3BS/LVAe5Dg09jQPI0kmGRtYO7R82bEycL60O9QHxRyYyXd/
4T1EyKgBqmqKhMnfzluk3/UlC7tiB6Pe7ktvqx65GNv2XBjIN7ojLJsqJoOUTnyCo4aWV5x3Z8CW
0CobRvkmokUVqBhvK+e2qd/cVrVAW4G5Yge4ETt+3Fs1zE/I/9qs+Hs8Jj6xDKZT45VzB9GMO9b9
OCLUu4uqmUdzgo2YwyeYpcftcWTtOlxHG+wKrrWox+4jRoSeHMf7paDRxhK15w7GH2xR0/zY9WzF
h24ct+qwF2W+/zbkW+VOvYace3CsXj+RjtIXs66nq60q5xPJ3QIiYEhFmcRdRff3JYL7LW+a8yCJ
930ltT3Cho3u8KlZDmUMzM9XtS6j/Qi/bauXBOfDHFRIEp8QB7zGEZ8vJKdFjupXs2rUNa5wEZZg
iU+JG6KGDdAdbTK8xrccj28UKl6HBADiU+Jgr7l1EV+ajOzAs20xvcSDfWrSxdnnHnIVL/E5F3XF
btcmGzUM07g0dm+Xo9qA9XBcYIdQXHLF2/Jj2Jt4aRCNMDqVzqzJIh3xlDZLe9p1W/wUJh3fjwjl
ljvYI5ImmwdaHqN8/zDV+Ck9nWuMh/TkRWEUF5VrjGsy3rrqHbCq6Y+yLNabtUbRE83Bxx7hReM4
V6LAemxSu5KGH8tpNGOVzAaa7ZfVAjfanthUP2JynzUH9ITCzbwtUphY3zQnx1YE7LCoTatul/gA
jO6wrhLxSXRFCb2T3LSgtB5HQHTjHyAQBdZUwuu4RTBwBBoBfZMhOI6byHKaCHr7bU96xBI+iU4Q
4HLucAf32BSjmC5Va9lpkArO/Xkxt3EQu4CI89PvbBEZyOZVJSIY0wGz/eCue/GLGkXY1VYiPGDb
TY1VtZk6E4JNJ+BcyyQvUdhmhfhEurmCViRxqMwqKulJz1t3lKoK2scR4QE55hq1rWjzI5qrqzgn
CR14oM49GG8kbu0wgeh9p2muxlNX4aD9IfE5dBtMKqusavJjU+EXgkUvRh7WxSM+hw5ohedBuFV+
1PUyXtXWTlnEyLtvO/vZIR6IbD6FLmeinDcSgbOjwqZaG5psqqWnMOkeSmPVmJzFUZWJyuoXwHr9
MBZb2HBY4nPoCi6KaMauytoNtyenpv4iHtswKirxaXTRtsK5YWeqrKrr8ahLeR0JY9MwvXjwXOt4
dJYM6jh1tFpPGC8/adM0YU1FmEp+P7aUg5rGlvbq2M/jq6YdstoMYUncp9Jt5boWXQGFVDu5Kuld
Hx/2lj0ReR9zRg+fM7Dzd7jhByCy85AAa+ygOUwUDtO5l2B3GNJj50lXcGup2w59oYcxyU2vwghp
MJD6vtJVt8Gdi4YpuGg17DiRbW5eDGtThd2DJD6bzvE+78VI1LFbdjj2fAMsgCc087VV+0AQ8Ll0
lO8IhlMVZYa2iMwv4qpjcMGogGGb72FS0pBVTO0kEePcsZRDd205jFPDZhhhqfl2Gp2Kx3TXqMA3
nWB4znJJKhHUgSfUy5OtmsgOVbFNK7GaE8snGPMbNWHnasQn3pAFk71tJpuSpSuBZTG9hyuV6xN6
fcSd/QE/bhlhTI7YbLoJtCdN3JiDaALjE8X33Y01jkdknG26dzCiYZm2L7Epw+4PEZ92E+26G/OW
uLQAxvxRLWV5iDFc3wpCok+Z2IH6nFczBFOh8W+2I++6EoddqYQ/x3BfLWUHO/ZBU5dWsYmTVeM8
zXOgzgSt3KeErtGIYAjMdG4nmam4rEgsXVraxvbHsAd43t5X1cQlKsVxNSWHbLnVrj+U8EcRyKew
B3iZx0yN2+dcu9QNpU47SZejVjTo2IP4nFDYPzCiSedSdB5Ct7ARxgZQEUT2hz/0cN+yWszU5hMI
nx3M9m4tHZOhxWGEU8K81ENLB6MZXO9SXCN9IA2qE+jY/hamdC/1DI2UcUzyKZ1x2SUyiuA24Urj
sCLLZ4QWQHyOaUSmdACaVzI0pnjVCjL9HLR2nxBKF60J4uOURgqO4GizF2m1sTDF+APoKrOgAVgB
UwoTTfHrvlub33i8i7Ca3GeD7qxcxslBiOx73h5gsjmMJ6L5UyN4zpB8IGn6U75a1Iy4GYg88bxl
8+vSdVV32jhuzYkaDVkwSP8+mSqfSU5RDQEN/vJJdJwxKw796sLIVMSf96XLXEwTB+lF0VdHCUyq
gxq2z2FL94JZU4MFgM9oUr3q7VB1Y320XR4Wa3wyldI0njrGTDo3bj51pcQJTBjew4KNT6baOthu
7GYx6VTu7QnZ5qcd1SzQpF4k28uO7gP0elItS3Ho2rU+ACU1jPYPp/r342QvNjEJmes06iJzqHfd
J0RvYZOb4Ab0fek5pa1BNddpNY3lYWdde5AwWj4s/fkcMIc2aDmbQp7qut/f77Fef67j/qlZ7+cc
9wBifRZYTpYFOSArp8wguI9yjvEao6d6hI9J9/a68BduoF29KXWiEbTO5+jT0Pbvg4Dks78ahFEO
f9JCnGDOV94m8w4Ev6lc7S9h4j2conYgwx4bdWK664HDWq+8vOao7WUYVv1xX9pKB4WTVidlUVIr
fNXGgcnPJ3/BIK5x2jCI7iiUwmc+RB9GSCQ+8wv+gEKVl2JUp/08+qhZED3QUi5JmNI9mNZxW077
NtAjTOG66I1+HfOwaYLEp33FDEhFpOvokQP9oe6ja9pXb4JW/TfKF4wRKv8fZ1+2ZSmOZfkrueK5
yBIICalXZT4Ad7LZzd3MhxeWDxaMAiEJhPj63jcruzvDOyOzVqyIF3dzuwMg6Zx99mDomJYJX1R8
SvUA3XXj1fLyx17/p7neqOO5G5YpO6ZTvMHjPLXpzVWq9+/8BK+L8Z9sAT/zudqo16nwFT8qHdmz
q9ZVPdiM1PUBOtWsutRq982926v/QXP9t+7gn73pFYr/B6g3C0k1rt08oFPY/LgV8dAOiT70PVbd
cGyqrR/yeVJIkMlHOuNs37pgxuwyDZo36ojGuutVPuz9Gi5NFaLqK6UetLuRgNLa57QLu/c5Gh49
3/U8Fvp+tZWP+WWL0mzuc7MPddTmhMqW1rlxmUZTNHHcupzJeaq/atOoJc7TPmvVhe497J7LgIY+
q8swr94UfaDd9h4Wcn5tc9YjdQc236Hd7JjHcol4mssA7/b+HOuew5teAbN0KoeuYFjwAW02jS86
Uagdu6wTvyqt8NdmmdO15KD70nzBFeqLdfVJe9rDsnGDfpna8esE0DZb8s3EJPY5E7xuPo9t2svv
ql6QvQMh5z4ZlcPtqwufriS9s95V2PIRplG28L61cV9mEE5Whx0jm+QQJdVmi0rgSZPFyn1gqkzW
nZHbWKxcHlu27Aq6sHkKZ9j4j0XG9crvO7K0oiQt9bRoMj6jChNKlELBADff5prPI/ib3dTUpZNo
sbICCMlWT/hk82iyXCQ8g25kbU9VmqFsxF7C1XKDuzU1bW4EKrtcxtGgykWNyZfZKV76sG/Z96Xd
Az1qM7H+YTdIJnxt5iTLHqirKL3bq0YsdTns0KikR+mXGI4IO8+W4R4KDYH7pdtW48PVZJf1ciRw
NUY1psi09+fA6ea/zUK1U11MK8DgSwYFkvwQb9lmQzGMKZLEahFdbSCHZRh9BBXLDtIWHHSyZV0O
Afdymi4JA5CWXHg/iibveS+PvG/GYuKbVwYNbIjseq0sV3tLFtsfvMEe9cCneuk+bFtSjwKPw5Qs
x44yuxVT3aQJXGKbMJTAOBrxWTg6Trdy2wECNYwsm8m9dgDzcylYlqCCco5SWkgEZXbv4l4YfoTB
Sr/djomPgWoTB2+1HWNmt9bQbpFguQOTk8NkjQzLt2SIoJkxa5bq9xlTsSibyrLuG3AQMWDRqHRa
S9uxyT70C6n5B9CzZnXsQgaZkJzIxG52FiX9Xdz4fv/RjsO0QDFjoil9mLFom8Oom5BctIq7+WMT
KUESbG99zVmeqVTqB+JcH39Lu6oSIa9qqeqT9+vKbohp0+lT53lgBTzvCdTotaexhLUz48P3yvm6
r/N+7sU3RvmsP0JdvjcFpks4uyCVmMI9WH1W4JenKP0+dWbdLyrRIXzodxLHhW6wkr53KR7zc90n
+4OTpD6SZBbdozBLxg9EtLp5nvtm2588NBJJhEk0fANEeXUi5hfr3Tj+2mNy09x2fKbhNE3dUJ3m
RMbmdplllhRdStPks+DImP0R+756gIQ8usEYaf8OdYjKO8/qsoZBUFRu7S78DUIe1v0M8yD6aZBt
Kks9QOn4LgvNMD7EddXGFz+1SzhEc9NtZxkM4aeMbz35SHjVV8/NLGtd6OAieCJ2RFroUBRHkN+6
W2buLdkduVDN9fCCZI1qelwQTNwcSdNPWem2bsXe6ZkwzRH86djcz3Ll3wd4AoxFBZTGPzYbMdhK
mmnzB84mZ+qSYFq13vYdDI6PVb1oKFSibK0/NMLK9KK01jx3VWT4t6aRnS7q0fauy8UYVwThQCnd
LnZQ1pXOJyQqnR2TOB+H3evP1El8gpKROoad4YZP0Ua1NXm3RXY8jFdLnhyGdnv/MHsI0w5MG/8l
IcFzJJ7ViIosEAXB71Eu1W8VlnBWdEOTqIIrz6aPYUY+IwyOlILlWU77fW8v3kEl+yEgn85UeTO7
bMN+v2s/TXnncEz7HIj3ar/7ZaXsFRkZBgdCD7ca+TzgVa43UrvFHBDiiEnnYfSJYjm0nyM7DUjk
7g/rWtMh5HXsxH7rN1sDwdwQ/STPpAqoEaFka5qLRfBZlO+mbaP3nPUmKZuUL1FpyRrLMgv73r0a
stPuvLrdy9OipqgqZ59U4Y4iee6JxLZr3wNFTkKft8Pg5BGu8bW7kT06mIcAFEIc077Feeeqis3g
eafNdqdq0vXFtJvYFak2WQTdgrFV66Ge22387EivIMYYU+ee2o1kyXnCyLh7mOB01875GlIk3MBX
PJ+9kfElptK6R2bnaPyatJsY7vhALZ6xsVFD84MOYseToGDZZg9TLdr1iG+2dQem+tS+8H5tqhtb
tx29QETLh/vFJAjFOmA7GniJLCNave2wSoanuW06drZTW9fgNkPEhGdEwEfppulc0GfdKQrOcAIO
MTlYjdTDfHVhTN7jPcXrGjdu+zLANB6adJk0U1rMsF+siwj7U1Vsld7edwl39CykhtaFjSPIqmo1
IiqCXhxS3szkNwhI1iwuMFAQzRM+LmOPmw91e47GJMXkqK36aPmg1D6NN6DuNjuqonHfvuPUsGMP
j1RC4nfXSQ0lBW3mbL/fiUyVxU68h+oiOtx6GM1yJILdeWzI8yPSL6y5ENdId94cl+x6cm8NPAFq
XEZrcyexygn86up9qYu59SG8o3IbZI6kMcGPWaqwv+U99Z15JC4W89fdWJ12+eDWjV1CSsn2kOLp
bz51dkNGDL4knarHHtC4fxY9LuLNnnRmK0e6MHfG+R/pGhc3UevB71nmaxRPbtpxM029HlffR+ol
i4NTTyuu2Xozd2DgPXZr27RF2jWT/bTpLGGfVZIFoXI4hJFR40rRof4xwjOVPMG1PpVfJziv9F/m
Ye4T9FcwRKSF6pIuO6vM2YD6rSGCT/kcLQFH4bDh+EC1B8tYHrE1Ky1MGqYA2mgWfYOrfEgLgkO9
u+zL3H/IFjzfh574gRfttmP+orIx/cgS8CIKGkTVFehF0wwhhVO2nJIhY3zN6UbU/KCbuYHkOIZ9
51HLbpjuqdI+GnIOBdbXbprddmRxm66P8UgM/HcxZ5UfUjH65rgOSMp5mpOGfhIWKS+lTStAAaKN
HH8Io66yIzGdTx4xf6Lj89Bndr+Nu3GesGGmWBugxYOoJk49TFTNfaUGqbdCpGn9FMB8iYqNt2p9
trufIYiG7jXxBWwMq75A3HarH3sLjClvVD3MBxqgqx2OkKjFB1HRcSwNqRLcibYZ4vt00dckV26v
xY8A27epCylWlpRqmUm85P2+hY+dGOCalO8Kwr8PGuI2+lpbPt2ZcUHFVTR1FxVxB1e4UGB3X/PM
c+o+JgtsD8419xrnfbYRlOkUAl7t8kDTyF1afATybplGlxUJ43PZh2YZT/2Gpf6ZEePXY5L1Q4xk
EgPLszhtqSjpACZmbmm8HyUOI+9yw6rOPiygTsmxUFxlw11vq/AowjUAdTc7vbVC9OQgkGCz4RhF
yVGaPcW274c1qi89H5n7sAxVvD6PZokLwNJz8iUMlV+LyjfpGeUagix7qGgmTN1ys3XNuXEaxhop
dNU4bGmx707qfEIYEi+dIcm5Rj3w0auM3tawUlI5l91siyZOeA3PVp3k05R2/Eb4OvxIof7p7hMs
HXXaO7vL+zlKzBPxsHhFC0TdXc1FsqN2ilPztEYaTHK3ZQWHjPweEDrE2sgTpXAjh5L3PhiRvEw+
qg990vE+V2pzt2s/yMfaw0G/7PEYF2xbfJE0VXtO01TeLbwON3W8DV9CvXbvJR1M0RL+bmBGvbBO
jjKvibagnSxD38/5RlrpbV6j2g3HgHi3cOZrUr/yeNM3rgtClniceaH2Zd+Oo+nYTQB9MX3xkcje
14MHa6FM3JhF50plqx/yCk+ugEw+NORH66rgXhjjPORrqzYBKme8+lC2Vz+AyxC2HbYpwsRBI1l3
nm2CPqalU1fWfI2jmzVOIWiGfNqTG9PElXyw0WbdcYXOn7zufEh4IUO6utsl1az+gspVzQfmkig5
61a36V23rQPyV+txHXIfayNe6TJo8jjTheoDbBrCCEsCy5vLFK1y+Bw1yBLuChZa1pbEdo3LF9ai
FJVuydrCDKhRfF7RiNIhDyws7fdNMDrfrdu07t8QSuVRDjVOMDzdA9YW03kHwVB3gItOlZyMGNru
3Raj9z9MY0rV0WXYd0p0NHV2ma/0u8OcqYQ+QlTTsVvwZ2lcxnJj8hJDNrX92kIfoB4X64QmRZD1
2tzY2VLCcxiKCEyk9i4Zwju0xlmCLhiUzf3W2sFiX2jGzMf3WmFJvu/RrPrPPevlJZ0wlaBW+exz
bGkffVGYaaFN3iaGlEKA0E2BpwPFUl4tK3Z3a5atXFVtxEcOTb97FR57+ydrZ5l0JcvmCOdVNbJo
fc/93m11HiVJRnPnKqMKWdEhebC72MKvKeT+ww/TQs12EB2i/p7D0GwShgNsMk/IeGb9dhhXuLue
ZBsl0xPHKsOOSKiZBbanZssAFjYj5PvnjpLGn2nf9ESV6W5QAuQD57yGDfyE/gMVXzcXYdXXWgQx
Ls6/65wxtT/Jvu7N62CjaT1OXeTkxVq5MNyxXXpTzsmwrV96yaBF4k0v7Rfn+3k96pqoqJD9Et+2
c13xYsbs0d2Frktr3JKshRjQAmUvjF5nFKUzh53M67LDJRdGAHN1N9XJfPLVJp5nmgSH6oDtu34M
wzDkBnmaOURh9UKRLya66Ri8YKGoEUG6XHZq0aA1csly6/wU6dwtztt3Weyz5tcV0SbisPeENCX3
13M1ry0yJs4Vyuy7FtZceOporOhN1SHT9FbXYfooBS5CSZ1L4yEnLabMr3bYuwhVaiDRadvxXJ9Q
B8TZjcMR0H31nrYntACx/DzB4jxrCiZr0j7rlTUNLKFjxdslx0PGaCGwqwZ0cxGEc3vWxO2D6DzZ
C4MF/9LHTB2GquUjllq13EwECMY98ArKnsS48f7Gr0Z+AxLzCaWHSzgiVTgo4BMyYpLnMamrL/Cz
6NqyVtgU2870984RVGY7DEb8ZchEU+g9IHAEDHpybjNDh/vZUTvcm2qxt4vWU/cVmc3uLZp7a8tt
iXAb0y177Zf0OtzpBc72LfWvHLWEK+t9Rq0OXpPb8sFn6gixsuR5p32N2gC0hRVhd2IDXoud0ALf
cd2DB6EfEYniivRA+G1eexRjecLAQL8ASpf2js5ijp5oBhIfSEHZWK+Xlde1G3BTlkAsFN1V1x42
QkWXHTrB23f1jGz4QwyhwPzrtib9WkQNkKsvsDtAgqxhwqaHsUlCgkezTd6bFv3IKYydzZMOG6jO
18Ugxa5Olua7YMomr9QvzVoEZWN0O1k6rFverWKIPrdtXH0T19LkLDaozF8C12+uH1yKclfOMYpZ
lfbLWSITRBSSG/U2MSzZXCCyo0AsCEkPg0zF38C/nu64CEEc4G9ZpWhlEKp+3JLMZ590HUnoj1tZ
ARmMpIIzktWw4ihRlCh/w/g0fR+GjcbY59KmG1/h1Ca7IjGNp+fOpeEHWud6vzVDUr2pZtglQyR3
WJM71fh0fokqwtlbjMgM9gOtZQNkpKvZnZxMj72DNKFI6nj2T0ZWmYbUCLOltOY1eWojzoFmo/Qg
t8zDUPQoV8OTcnM7oYeVr3bNB7Vs7+GJHKcftZHruyhK7UdRZfELxu1uP00V9BbnaEJjvA1qWw88
FTD03btVf8Q172/HuAetjXfIxIbHSTpdpkbKuWB6VD7XUdV/glJ3y2cGnYzWqee3ZtPRU8b9ds/l
3ojjVMFi5DCwsJ1mxEqcYj2QS4ocY+x5I7WvjaxZeNT1BPXwusLvJ2fzUrn3foHF6xd4cKA5s8Gn
zSdAwzTL+RpwHRLfddgWJI3phIojg/5YEPfSbBxFIgWUUNeoMjoWwR4226PSgAbPDkzUwE08Es+R
U5KZvT0lmuhX2K93/XMiJojANyQwPLf4IDlt11gvBbbt4HxugI3RR903WVpQjY/zMk2Vn47dXHVN
kaSZ9t+uXNfLNA5K3W5Ztg94jz6yz32c+uGR1plHwRZaehRCR9MZFMrMvwMUPR6wTYzj0TDW2TJp
1iEGXQ7JrYfJE2wi8IG5wb0AHFFpNmm02x6k5TUE92yjpluLkS3xcBNFq9pPsB/bf0QMsUn5gGjI
23qfNiyfSuBy9J4cepkuxTw7f0OnGAVn0463QTfsGezlGQoB+DsC54BRA02z6lO0g05+FFDIhBfg
TNuKg8iS+IcTpk4yZOD0O+ABOyx6vIyYULRfmn22qsCdguBd9A0qc+yYw6qKZq40/MthXiTvYZEm
skJ6rpfLNqUzAuqRm43s0mrlos0jBtvDo5f0ugijbq1rpCvO6Jiw+fRlt1vpLw6iDJkn0+YGLGPM
u94WnJ3VRRtH6nKFozYBE1Mlafw6pajQytVL0xRZunJofRwP/WvL4fRSEvjNt58GABpprsalaV7I
tmP3qKOIxzc8ixUrlEyGpJyAhq3FNK6AtnLo8ra67KDjIo+pno14h0CQds0DXKD1YQkVm/KQ7Ckq
GKlj9z0ySFXIGaQe8h2ybNbs1ATts+8cX8p/tChQ+R2z8ZAV6ZD1ydNQewLTZI2moGmtUs8BAv7+
mHSWqJAziO1XAJjNuNdo1B0gBzzUG4pC5JpXM8Kopa3um4m0+yVOyTbeSw2cNueaevil68a8EUbb
5iHZqxFUkIr043kRa5Q8QaKWcawpQ3eP+c8Y9BH5jd4cQS7SqsBUhS3fRq9shIDE3YlLNABO+UQG
db1DHI1PGRupO+j+0ICphwX4YV9AX+HsksNzKE5uCU8YmkvmovHcgmexfvNJkLasOK/cyWO/9qVh
WveHgVIxlwkSaVyfz0aF5ohucJC3VQr7NZAvh2s8GNLSprJrWrndVI5kooBOpJashBMDwYJqK4V5
NkahU33D143uqFmcTs8ACSZM62fUdjlw2LjPoc3bu3LGYzAc022J57esZf0QoXeIU0eRRA8Tk191
rwbouXpMyBwOU4U6MS2iwcgTT3QStksfCype4Rmt3J1Ha79pfPE27VLUIBudHlnWDtvHCN9GRnkT
Ozotx6ubNRrSVexr+rBcO+jbKpr6DcUX+LIwmApVXT8GFVs0K2ahHAs87YFZZQVmLQzdKrFKjt/b
gO4adKqQKfJm3BrNKAYyhoZpcpDbrkirmcyNldMiHhk2jxqlouj2H32DacSXrvNTf0zrdIw8rq6m
I8KSuWnfpSj3sZYTmaXsqFEazW+NTpkXuYsl3Jp9li7iQwx8rkX8C/B/902adOlfdbRM0dNUY+Dz
br02qnAsCGJIimyd4WsM2Zw2w6VRmHvhIUk1PZoMjQ8/IEdxmW8hSq2ZL3bMkCZ0uq3J2qwkjDtx
6zUmSXeorgW/Q1mU2vfj0PXmJqupny7RgjDzL5SQihT8WrMdl0lFSz5kiY/uJgKDp3fRYpcWexxs
6AuJyng8hEUJ89BaB6GLYiRbP+wDWGSFIBZDnpYOIyxmTB2574JbXX2g3mLzH5Fv0K37TbQjXxsl
K3wNh4vXNQ2op5BBXcTZ5pZzmEZJzwYouz8NPd/JK1BFxm7aHpPAQhMFAsAB0k1iRIlncwe2dUXU
ouNskmQpKFddlGPN3XNtQ4pZI4M9xpHEoFbPxzaKMe/hI0Y8IR8QsSbyMG+alabJWHp22yL3s063
iIywdEv8IoHp1chKmxYZd3csNta+MgtX9besThd1h8K2zY4Daxb53nuMZsqhFl0NdSLIqU/tOA78
tqqHsX/vBS7MbUhEb2/Igkid+xWfNUHkeNjZU7dkqr7ZOiP7FzR6bbUWZEG1PJfdJBRg6xQebS0p
FixmHRXw/uBBl5gDZkIee1CDrxbG2Wc4GBIbF1LCAFMdFEZBdrmgADO4sC7rtHnCOT0CeAYZB6M0
1G4yvKe47BBXSdb0+wumJ9V2XLGSj3Lfszs00Ty6TaJKorDjBO51yXWMJ5IT6TjXp77LZna3DxNE
rnESJvfZt4uEaUW/wDrk6Gq9hSaPPWcZZpwJSFdktmItOIAN+0WtsKx/mmC7YJPj1eo1BqaxMaSv
C7PLtSuk8r4vgzLXRDln+QMzVTpeUojL/Xke9ULLeg16vEssfGoAkRLMW6dgsuXYAsSP88jGcXTE
jNK15SBqibZTz1ajQqKqpV+3DDHvt9Ved9szLBlSB+y9qcz+g46M1t90P5HhQiikjhcC1He+h0Db
uA8DLKlR24ws3e7iNLLh1zCzTt+FUEcWAN+WiGKXKEdy4MsLZiuttSD7zS69X4iyvnABwaEXg4/Q
lcueJH0BbjzHzDxNr4zGVRwlyKQPw4pk4Bfi+9reG7fH402G2Lv9erezCloH6QKi222Wdt8A80W0
7JiItIVZK/qZwo542tUBlXWPAxIb6bXN90b7RxmZlRYhimKDxSJmA7mEZtcrKDXgKlQShslHm61D
BGV3m7U/luv5+CNboFSHvQGrL/MkQ5wT7HfDe2pM4rD2aqZml2thIfQHxISgqKwhLSlpwiLQa2g9
Vw9Jkzl/xDYKL8R1GNv1zXWb3u6mPVPso9kWnqJ5mbvlJoRs3z6KTOn18erhSM9WLVWuYHYz56hG
6ytYrrcVZy4GmE8iBJnd2AZKgwcMShQ8GFAb74C25h6oFUNwZcrcVwhXZ5FDWJT4w8Z1D9TOzM0z
aBIxKqIVoczPHZiNOBeRsQHvRrmKSr5mmkiQe0eCedZ6GiszTy5vofdL80mAR0ALzL7N8gYgqQZ4
C8CGuK9AK/Y2yrlD+drlDLusA4Y4TFB75DCpR9953CAPRTjQuKW8+QyFdVhMvniE2MwntTrWdoWf
4R+OOpTwjcWloQ2oHOV/WONgzxsxccKkirqCgBFk80i4uSpglExfKH47ul19U+uLbK7Yb432e9PX
PTOtHqfEmgPQgn0BrzWqost/VMtGtmDT4Qyj7m0rCe+mJd9Dwx4xsBqXklcQf/8xBtPPzkI8pKOa
RjsciPzUpR/4+sf4zD8bCrGBrhjX4HVp+ywAWrTsD0pofrYTmmB4KKs2y444JglAJLmSe4vd2v4b
De/vGFZhZPBbpg+gsMSBkYbJRIT1NzdT626VjybYCFqjATgla4dYgEzOydNmAd2iweoiUkzRhvv0
rylUV1bRP2Mb/UQsqzGi2drIZMcJaaZD2UJHcA/y4FygXsP4EbM4cfnX7/R7ZKqfuKBmtnjUwCk+
whBgzt67MFVLqWvUuaXHyQR3UjiSDKhKtzD+myv8OyTLn92JOvDDcJok7MgFMjkcbGcOM7Dmf/OF
fu/Vf2KfaST62ayRDMwR9a038asXuvpj0hHyEz0UZfqsdF2xY0DsR96YcGmXgf7BF/+JYebi2I3T
wtkRGPQBg9Q2r2Igj//6Nv/eVfmJHlpta+uYbPmxJpHFmb5Wedzg9P9jr359138gxyW9pmAH4bok
u4I3r5NImdyn9//6xX/nCSX0ty/OTay83jo8Lk0mkx8WmJIvCA8JcoVEonSuF7Cxz9CVMP2H4vno
z44wjah9BhshdkQcKvuYzsY+dDHg1X/9hf62uf6T1f2zH0zWBQpYqE6PSsgGCLQcg8dwBf+9hdjx
1xSVN/5mTOORn1rdfej29kOMJ42dK9suDXqVujkgnfHHtlJEN+cuQ0n235/uP79v/6t+m57++3PY
v/4X/vx90mj268b99Me/fpgU/v+v6+/833/z29/46+lteviq3uzP/+g3v4PX/fv7ll/d19/84YC6
3IV3y5sJz292GdzfXh+f8Pov/6c//NPb317lQ9Bvf/nl6w/VjiWaHtN+d7/8/UeXH3/5hSLqArvB
f/7jO/z9x9ev8JdfXhxKgT89ma8/3mzzT37z7at1f/lFpH8WJE4Ipu2cS5lc+bP+7fqTLPszkRRs
c5kmCBET16NjRPZpg/cmf05jxhOBvRSzGnbVtNlpuf4ooX/GwJrgN6VMgW7w5Jf/8wl/c5f+3137
07iop6kdncV7/ubEyGDgiBEC4l84Jwn8pH/2YXajA3a8sPUEDxd0QosJj+MErj+cUlvzLZJ7f+uJ
hGfNP1yov3+Mf3zbGDHd/987pymPYzD18MU5eDi/XaeLBbsFHcN6AkRSHRHSw/RXlQDpzYFMppgh
6rhvMIv0y6cBeMuOEPZJ94XIoFEsKoB9/EQG4C2FxXzhczVXLebj8bjl8FCrHWyu6VwQdLFN0avK
LmefxKMp5iUGBAhjKwqS5CTCN+rnnDpwb08Jpdlnlarta5gS+apIh9BRkqzru2CvoGzveHsL6AII
Mo4I3RVrnCyfEJrdgs/AVtBC1W3aTi0gHgyPdl7YffyGnBDgNXQt9ymeSltN31eIKeDH5rt3Eo7l
H+XOEcVRRd2dUTq+Cv9S4FNRzauXaMXs8rDX0XQJItmKsQpvGRihJ6LosVq75OKSrSu9b55Es2TH
dVM7Co2pL6J4fEX281pgJzT4tsn7VURZ3srkOSjwQlk3oNBXE2SvkqaPo/alAFJZIGkQfDxQuwpv
ZnY1+hnAASIjkDXTAStOvmpkYuW1TG8Js6VtMDmrKeJyquGI/gTM3GpvcwiWTxysqcIyFCO2mTAw
r6x/9EBB7sii3WWvjMmrwS5HNy0w6AaWAh4GevelRhfsEH146AWlyGcHYuZYvVwStMdHEBnYJSUZ
yG2ANQ+xWZabitj2RH2TFJh87sXCxuTcV91yrHStbhrV85NksH8wewDN2JsIgrwUTG8b18NlHKP0
h47X+ow2KSqz/03dme02rqRb+olY4Bgkb0lKsiXLlmWn7cybgDOdDs7zEOTTn0+oQvc5dXDQaKBv
+mYjq/bOSSJjWOtb6zeE8Yg7UN9bTZdd160cigRUwU0UUgrEnpb403luOjjWAZhI4gY+kCIaTQrt
47jD5+qLAkZoc/jes3Tzf6rJDc7+mlm/69muvkZ/zf044BLpRISqp6tqigdTG02ZwMdmj7kddvfj
2p2gIIxj5bTtMSXt+14FglmeinGt0LgbCSXspiXb4iFMDRGZZiMgdZRoLjTAl9z0afZGOm2KOrEr
23vkaLaZsbac8qEcKuug8SmqQ2GkwUvlGT3SeOWaSSfqzd55hjWa2IYiOJtcW5Zo6Nb52TZwFF18
aXVUqt24nJnoFrji4HXSLrbHznfQGzs2wivWqYlNlXGbFJ2qHsg82MiGtL4B4QYMr6Bt4rXpmaAX
BSjiKx8mHmnkrO6CvAab+eRUzfwWqs67TXfxcc+JoAOEGG6/7AJvUd1xpZvub9NxwEYQsN4KJ+1w
PSrL/a7FIknkYPH2uOwd2zW3Ic+43izovQi77cQtOy8Qr+zeievOBMV3yjx9neysxkHtjFPfmtYe
brN1Yk9l/nXavHrhz1cN+3IzniS2l1DF76FKH6w5P7SmQYnWerurz3Z5N6eh8yRcHFKm4D3cKncQ
LEXxEI6UsW4WWL5tUoRV4VDe5W33WIttuKDTfqWFJaIetD2WY6nuzNxvz7Xvo4tT5bj34a73qvKz
S4qNcYAADU5AIvaOzvLmN8wO8CC1UY/mmqssqVa5PMih0N8VcpIboapkp5DIXMoDHNgy3uqVwoV+
9azffr5kx9KeylPo+0/ar2A+UetHJ6FHbBB/AcXIL2CIQokFtVHxXhofY6XYjxE8a2F5PxBY/f1Q
z9MzppXZoerLIOEePB8BWf62Tsf6MTSuu0/7ViahvfrIaG7sES5Fu9AwN0ulsntU3OpimAgFTCKg
iMwkfHL1S7dwXmdj65GB12K8h7ic/4xGNT0Oy40sTxsOvppzA+jynMbr2ADQ5o4Gq/IkQokxq9/B
jPtk1F5w5wSav5jnmyTwFj4Nbds/AkTNk8f3GFV64Vdgzs29WorHWboECpS8m0qo2abyjmOZ+ufW
FumRs/c3u1P2WDchLeB9p/JI8KQM97lTAEPKrlC7ftvMNcrg9urEWLv+KzNWPFa8f/PBF/UgI1vm
dBGkvZHrKPBmddbpfM1WVbyPWY9H4DvBXzO1pgPeGhWPIS/MwevmYL6DK87dHQ3wwSPdDNWbz/cU
z9rq70Cw6q9pFu5l0J38DeFguS8DjvEUj1uNpd6McI03gKXPk5bTQRMZlup3RdtvZ4QNJ84n8ze+
WbPHpt4OpW3NJwALIur1h6EnNCqiaLamtKNw/GSZhWMdsmoaushtA5I7mE7j61LYbsqtJHcf/cFf
9G4VvR2V89Jd1qB+lg4CSjpRNjC0lXHB2paPmuJGflEZZ5QMmUOfJRbH2sSmQoa46n1l+fluCdz+
RLQmNrweN7TIFH+F9MzF/gta7g/es3u/DD5HBdPmxkUbXWzozr4zDAmzo2DNbbt8aINS77ap9w7B
TOBDKpuKoFTxJQM2nnJPvTHSQe2wEnkA5MLyrBz0wJFi5bgytvRaEXDdNXm2NxZJkZaw9iNtyA+p
5rRZGqOFVIX8ppU9xmA84xkiyIluOnbUaEaZrENng4kw97D1UYT5hpYdZ0EnRrMxk1lvP2Q580FW
DZF9wQdbdrU8NwFl/3JofyxearyGTd3fjaE33Y4afpSLfjw0UOoHViC8Ua8lslH0oPyTXSQec1Du
RM5onzQPL4Ox8vpiID5pvndAz2HE1J+1ezCovd0V2leHPijWyKFgjRc+c70Tx4XhZxbcvlQuzN5+
GrLhIrIWfsgahwC+Si4/Q98srz4m/ckMy+IbhV/cG2w59xaYzHvewi1PNuzWfvHMpo/xoepE+ab8
hgee7oS3BjGcOW3fbLPyYMwBgHqTWekFUIGds1CzeRTK1Qdt584nUQNQMNPWT1U4FktktDUgipxs
cSRNARY1z3l1BLjIXlRoeSczmK3Xtcvl33KQ2xy1dVAdcHuzgoXJkvf5aHpH6M9bxY3Ow51yjAwJ
Tw9EqdQ6q0NjBsWhMm3rzXEDKGIsTyIlqwbmtAF0p6I2ZxDlkHbvOa2rCzUAxqvNTM67LB3WU67z
7Zbhmj+QNCtSEmsN5c7xAbq1Hvb2MIX1cTTNItx5qbO9FpTa/51yvJGkDYri2hPEuIZp02InZSJN
ONoyb4aj/T6XxfAWrI35KNO6PqbSMg+rfRsvvK03CJnnQH1kbucmVWWWJ+Aq/TozSPluRsp9NkJn
5DQp5MUZmuBcWoF1GuvA/zDKpYjRMZoPBpNA5WM1ilE99kEuHuxAGduuAydm1nDhVpzcU3OA6DSt
iEbJ7MEl8BNBLzBo1qAmIlpkpmPSlQBh06DNMiq5N5Ad8mT1CMiQHsKy7lBYaw6MtIBfxWjQS9ny
J6gJS/zgFjwXERco51XKBRx0M2huuLBFsL9Nyp9XFjBLJNUQgImXkEXhVhOHcWqYV+F2j1Ph5rFf
hp951lqEwugIyYJ6PaDQiX3XtekXh5ZyZ4iW4ITaSoj5CR3rUCG+37fdPPzkpd2uRjhw2vQ0yC22
UhIYpk3GLSig9olUicpRl0b39uNCWEF/NlRzds+rpvL/hVJHRcyk3XLJTYQLXiwJ+i3RWPdaxq49
4+oj1RtBJHCrD+Dm+bVyF/VK9V32vRmFfQhXoZrdtrjqMPXm8NyutvVzYh7e66QXG0ayt8OPaVPh
tsuzrH5RlZF+6UXkRyJ7zmfnolbifWYYmUsr9BWbw/3bEwY+qoWIWlRluruujHu+Exv9mRzYBotV
zUPMOnRYtXXUD870Lvi6Pwvpuz88gYX6GlSuGB9l07nOboPQrndUHvP+VDlAl7PmVhx4akWVrxQ0
SzZZa3bfWjyEyaQMcPKJsU07qt+FFZUFb6+7El9IGvbDU2Pl0F7Ime2j6v00TRgwbAP6tj4uEaj8
GjVze/M1JucnoZn0UMMkvLWhPX3aXIniDoDh2nvuc2bMidLlkBBODk4jU6cTxXMYlaEwP3M/XX6p
OszvBSjqGzMSjQ+rbbxgJyBef4ps1cd5XNb9HAbNk7054lnhrCqwDS3v3LzcdWtb3HOiTh+07WJy
IcXeTXyEn7Ov5oexMcTFTdt+z6C4gzU2/lOGsnMchW0lpOrya+0a7pnqI2KSXjiaVty12RrpoAMc
88tVnpp+61lxfHlWafBrUukXTIx+nlpT1sQR4QciBz8uGsQcfk8BmPWtoGKPA4lBstjpWx+E0/uS
8+aURj2+56VSidTCOddT0Ryz0q2ei8b9Vm5qxnY7hteO4+ylrGDlNYHCv6S5NnbQxb4jwSSoTQrH
46awdSEllreCGVjRYBTp4yC9/AJy4uwwN8kpVVY7PmjIs6Q3sDWYJpM+zwgAidNmED8Q/e1l4k76
u1tt9zmt6pEYTDhFQ9D0T7O3gB353ftk6qxJNHQZx4OKoiLNzKu4X1Z7X0zj9pkKYkVMvzDjonQ4
A9EF+gHMYp+ZYFWcSgKKH5nfyV8yY833FOc0ttX5uqpm/ZVxFnusR7XtNoTB84Qx+zJyyiMMBkm3
37BsjjRJtWeJZ/djHljv/baZfmVZX+/kNmafK6A5oEXIldqqZ/8c+FzWyAPxdmXsKvB0WUC9GXtK
sHhznDPtAZKroA41zc+1M8u3ksaro9fK/M1oeK4GsqLcBOc6Cdq1SKrUsS5+aNpH6c9LYsxT+arX
1j6TK6y/XdJfHXHg2n4lnDE+mhV7XoQd5XzBmXLDAjzsT6YaQmxBmas7gwfN2jlw/BaccDG9E/sY
VUJYkCyhboFdglBbL4W3tq9+bw+fuZGirfjF1NWJDrsa/LiUn8tolkxXVawvp6HpxWVj9Xvb+roQ
DzkRNrJNonL7fV4E8lONC/crb8qc37OoxVtDOjgufL/51KDiiS1N/70RiDReNTYP1NdzU1pYO/gD
5VVCzLTcZ7PvXjHQrJ0leu+OT3J46q1hPhOUxiKspvlkzXSoDnYgd6Shyrt1ctb9lg7NwxCwYGB3
tx+9b2Z7VVTG1SsLL84BOiPLj0eW+Caum6b+amDw9SNwZerdGVjWRJ7CdcXhU9ZbzW0jjdpCZ98A
wxi+vbnu1nzVIpLbotKoqdf1veAOmRBYJJTlZwaBJCKbnAlcyYXaTge32nMK6B9Wc05/2mFmvfp5
zQPExCX+DMbQXNcGOxYhSNVvbtV9DwUkC6j6WpNQkut3wxn0PvUMliFJfXJadU3izYZxEDr7XSiE
LRI4TA1aP0vtrcnI1hwv5GXjJc3N22HsjUWmOa798ML8Fvugpsw4qXwM+DZhUaew9BKDqEoxEaRM
p+A6ZoPLlGgJO6FcwqAOfjbJPVncewRBT4tbi3tcHx4HA9HvyIQQsKUydW7bVLUvmrFLQr+M2KoG
3jRjO+lpDc6ZWtME0aM/WKE0f6c8Pr9bC1AhKuqm4ueX3UmkpncmwVvvCc+NV/K3l3VLrQN783It
pFHXYDpOH0+GB3piYHbiOfdPnm0+3TShnyRD3TaCVLKcpDDq/ImTXYVVznp1Tv1AoHYNXqoixkSp
eMq5eEa+3lz0t21MHJ2WbyblpCICThfPHA1Kl3BVIZ9goM1oXHxKBQA6SFY6WeIMphkFcuW9LGUY
jaRc5X6kiLBm02v6k9ujJcbuZMv3TsFZYBEOPxH4TZLbUzFEIoXTGODonp1s6sCm6RJsuk5eUst0
zmZr1AhnYeOfpjD075ymyI92tg6ndjTbU+ZmwZUSj3ZfLwIlzwbU/7g1ID4hrg3jznMGjjQY88Wu
mw0sg81t851y1z/h1m3JyBQ7iCXb/DI2VdzPcpMvjG6SEclym0hgS8Wh2IJir/JJwXOa21M4oL6l
NtxYZOVVcNbF2D5vhiZlAqjFvzKc+o5Kiu2TXIh/bL02/yE8Uvgs3kz6sh2SRi3ilRXxUg9P3Als
oG/wn8Q0Z85cvnvnDGxmI1Xp1OpprnsWsXHb+BGM8wA2tjTwWNUNoWxTTYSi1M++tMu4WwPjnpGy
7dEgqA0xUXe/TOixxFBNRiVRDgYcDndc1w+FVXVPs9mM+74IUBU3zUbK//TuRzeoHkrtL3uCmq2f
1GlOjJ7427hznZR3vJmRGwRTog5T0fUWG489P1rQiW+kOCxyGjUp/WnN0wjlalOg6RDlPlQR9+Ql
a18L0EdznxF/X5PNn/N6b0BJNac5TW0k2ZbGIMi+ggcSyNp4r3N3OAZmmqM9c4gu4hTE7YrV32en
hrrYl9TfblhlaCD2bp7wliTvsuk790Fnt2kRv0h6i2tA3Nba+3VpdLscGKjcew55JOCNNOyjkomh
UzyFgXMdApcj8hJm9hwVRD/fJ9fJf8+GuW6E3RbTvddDL8VxC133lbZ3AgOOXA4GCaYnPTmZipTX
Dc94V5AvYPHBpV0Q4pzZpaK+GH96ZO4SGUDbWFYY/jIaJ923q05B0XznOODWveVDDrlSBxrQT6T2
jlB2iZAy3vMpbDuC8fpRwNGQSW3C5mUcZwAIudIj5AvvGNCZcHEYCNEnObbug5o23Myxc4IvVAPh
kcS2wwJmBuvA0DRnJAQY+js05I6shGr0RxYINggk1PVMbau/m9LnrPWnKVG1CF+LUdYPipy0W4i+
SIhB6rO02QnuyOy2VZRt6fg7SPMBeGnV0xDppprnCNXZew5aB2K2XdYyTDJ/Zfzo6KDUJnPDkM/E
IZO1ZxuBlHXD8dmBtX1HOF+eySfVK6UR5SGr3eEwDi3ISAFI6bSju8sCRrjtm8xeoZa9/AkDDeq/
WQLxawTu/plpUZ5Gw5ovPb0FHRKklbqnjmiQyVdQ8s80sLxHWj6oBR99Y/5YtxEjU3C4poJB5wcz
zfSTBn7siSsw/Ssu+CCe6RfYjFi1tvqSNBlOceZa1ouSCL1RVpnVS044aqcNyQUaAsxjOyVIKsKU
i5RmkMNj31jDtVONebUXp36CBq7zaJVZ93PTQfYoNsCiaO4CcTYH4xa9qhkBd0cflfVDpKEN5RkK
FVddZqbRMKF/RkFe+Uf6fOSfrKi2zzbk5dktKQc2Yj6MHUzmLa0TAbbMqLF+Lt952mZg8zJjJ0D1
1E8D9X1/FmO8LXC8RB6zYN9937HvSa5sZ9OuGTyXkuDH5CfUgpwdT0Nofg3u1KfUQ7DzQXYZP4SR
tc+Um/hHrfLuwV1GBqw66fRNwDU7CB7bLlqoGvejbtT6ryBSl1ChknCHKInZCiqOoSX9o8e6ncx+
U764moYIwwb62op1+qrzzmnjDTbnQPigvssh2Tmjqar7tFpzYP7B5DdXrkio3209/ChmJ3gOOJ39
2Vrff6GsjX/0rEODmrsPxcgXrnhyxe7I/ME4joW57CY+w5d6GcY/7EBVEMH2h6/GZjkyZnCUne2a
Ib1MlT9cm6bwcA9YW5h/Bbd6Cim5uFSOX55ai59EY1ZGOlv4F6Fr1ARzraZfG7LabUOe7XMwQdxJ
n1tJpOqlvBYpDFZMb4LdvkjZbM+6wGJLOdw8mGYmnjG36nsmD6XXwfba2C60R6dMx1XDbfpd31s0
CqWLfKrmVRz5aeqJt9v4rRkWRai0+UjlXOysrNGfXJmDx8nftsuqq6/O8pKquIXG0yaI7Txcz4Kx
DC/Z4iyHvvGbOE/DlzUb7F0hSo+dEenyfhxML48c8ve73DbFjaDlXCF8Xp61HRNqb5o86o1h2c9c
X3FoJhQOI6vk/cix/ZefNuIiTZNqDNfR/dXlQM9NoPSMOaLxhVy5JiaazZ5TUdmthp+q0P0D7uof
8jR2EbXj4D2lZBfOi2jcZ42c8av2A9cjGiUVSaoJ+yadeJoWU92xqsqbbxzQE4OmUPST/d3WknDI
QFd1HdMqY2QxsntvJQUZnCom6alOk+HX745iyyK7yZElReEsLHvJIhe3pYkmq33DTx3vKz7fXdox
hFmnQL+mT3AnWE3KhU3Hc9lNlca0Gsfql3DkcMY7nHalWIPveaiH02IUJVqwFfw0gRF7UnkldQNw
ouFxkh4HWT/Ht3K2iRuMTQPLaQAlPdhV5yQBbg5yb+t9tp5bu3Fajsa9pDEjctFIaDNCxziP2mOR
C/2u1QwHTV+8Gs+HYUjLK63D7lezrPp3xrH1tdMTcJ8obnl3OoumBxLJAVXVjta/ugL/MmJVUG9I
pBxNtoo7XjTnLMbzFPj4MMXosNEUY3peDNP8DZURVLullSNKCiPAuaSFgoHSPjGn0TFoqwl7Devq
zPerNyp2rlo192DVrQtnZdfEW2W5vndBYePbpOHeJuQD/EFQbkcqpJFxI6F+k9HPtvOUSVZvakWK
ox+KgdYF6GZg29X/Q+o2Q8szcfyiQjfsVnbWSiOywtV7bKssBa8cnWLkMWcXIzsi8pkg4ET0NtSa
36YoXAVf0jQh4XHX+lHOPT6KXRcnPfuaDiRpGPeI7JWfeMTQ+T8IURNXnjL7B54tcd4FQ5QuxNrz
vuhIqh9bHNRnNi/OLiSVp0h6bO33o1nd2pzsTX+gN9u7vsiZAnm7XVUBY7YnFWqqOvAHdwsZoERn
pXkOqKv5KtzmtomV4Z4gF+EY15pmufegCMDhw+q0VaZ11HWnH1cTxxuyD5G8Sgm2QKTvgkBYvFkz
5VH58gxqeXHSYeF2PXxMHMJJZdflfWDUxo4KnyEBMZ7/Wq2Xwwn3GfOmWJ3VtgaJ75v1gzG3dixn
frTl3ghWPQ3mh2l02SP1J8W56Bd714wmOflOz0MWO974kU7t9tzPc/3QFF2AjW4ZO9eW1X1p+eaf
sp0paWqD/qGi1fdJkvMABWZoSDKVy/ZnUE7K0PDQv++3ZrnjvI5M3BA2+Cev+f+a+jlnf2iLar7H
f8d+/gsp9P8RG2ShyoHS/M9s0OmzryGSis//zAX962f9kwvyg394HkuzGYrwn/jP/+KCXLgg1zM9
nFLTA3eFj/sXF2QF/3A9itnRFfgDsK7wr/7FBVnWPzwInjDk37j8gLEO/xdcEHxR+79ZM98VHkEo
yiMcEfIr/bchamLwkFZHAhSEJogSrU8kUb+toN7PZNQMOT7PTfHdueP/qcEUPuLff2cMKpgoKyAY
ygr87zwtiouzia2cdkKGPQPQfTPiGMF5E7HHUoAgG7ZOxt+AdvrM2K56aHV5X87p9phZQ/vteuGq
aa+jUC6qsV8+oHyaU267NmUoGRR+opTHGm0Oa3Bxy46miAkRZu940o5TlPDDJmb/aKgR+pE+EJCa
FXChXBXd4qJ/WhQWlnCcP7mp6mQqKC7F8o5HIyUg39UANhXVdMrcCcM2T9SkmOw6fX51tEVHigbB
owXLsIjAWQW+KNQuJkO+PBIzflVhwO8nVz0cNCGT59VjW27zh9zJh3OBURvpcLO2WGqTu3BWZPzk
Zc2KuGpwxB1huD9Gf6Dqbpgshb4c9g9eTcLPylaMZvLhFe2n6A82BQk35kG9ZYsVXgWtNaiYaZsA
uR84UU3PBObdRGLHfxA4dFRc9K6BKFuQR3VmI3hayAF8S20z7B37uydQCD/2NbYLKzTtU0ak+tD8
oc1t4Ic0golEtg5nNHL4JaTiWsAf2TeFtCrWhVhnkJ6Aj5YT90MyIcRnY8fwxKPOKveJmF+W7uxi
9S6dUdDe4Q7mQzZobqmtri9aLaxu8MjsqFvnj6QaK2o32lbWh8ad9MOcByMTgiVDDPs83OfZuJ1q
Pbc/Ohwu4qLtYKiE9HvzZgNV0K5hBISxC07vB0KDYXNR9u3YlhJIw4Zdp5HLQ91VsTu04RjNlL7d
Cc6iLdaxub1R5kDrP4lyNWKpAmhyyyuD9Yn/DtTMXmrrr2f4nsmxfK53szeGl1QsYE8mnSoeQi1D
sj0gtXtyOK4gX9rk8wHXEzVvMG3n4DJjqU0aBvi9eevso1jnTCRMxFzLSOoxwDvqhzyPGr9d72U1
+CRzaMU4T1M6/upqmwep6MwPZTbpXzn67R8+mew6FHX4xCgLepi6tVzrXeZO6Qe0P5PcsilTRDNr
rGPBGf2CPsDvstmpdYeCHY7xWvruL8a3D0cuakLH0p1LCcaXc8NCtl534OD2Ph/K9cVuNudaWwGX
z8Wyxy3Jq1ugj8yQ/tNVvmDMqlra51la4S/k//S9z/j0dm7QN+ewLAuyw6ESb/PtlsI93NKkUzL9
WTXj8IM6ANAnu+7FZ5fl3D9a3yhAWHpu+qLMezPurM76awyZ9UILTfU2e7l8FtrxP4hEonGkTnmj
AxbHfFU0ZRDotOaCuGvtVS+N6NzdsE5iiVSnOC5JKmJA4JwJGC9LgxH4oy8NKxGaiU4qRQDapaYd
HKx0nrhqqM2iFSow7wjHAD2mRdpfaerpIPAUfuzGHR51epWsIswnVktUlYvxtNLiXFFbHBRv3GXh
pFGH8lvkz2/+mCZhukRwF7jbcMMG+hZyn5KX2aZ0klQCxzVa0Xjj8yC/GNSNXezRhxXoQw84Yqut
5TlrAueNr9SLmlaAYougFTvJSN0XejDSxCXyjmjoVc+ldSMR20GIqBW6+6AhpEH8ZRn6iQwkfrGY
840GFElx//at2ouRzoww7mZ6TEmGtYg4RlBRtcVLztmdEp713mjH46TEWlNVloc0Ic01y8JMG1uD
TrvNjxQGLG8ljU9bvLklNQpyDu32zrRD+2c2DjPn6snz2p1pGdTTgo7mZ5qGpwvxmvZHsGqPKJWc
/WAnl9r9WKqt/erU1peYKRNLemaGN9mF1qgtbssUWUIF/aruLWlwBvUdp3is6spMLw2TndOdK0Ln
2NARkR4GdOjwuJKwVNxLLN6uvqkyGtm63Phc5M3MXZVk2kXNBEKwqIEyYZAUFyqNrtuEcgpKQumU
MuCpxryfk44s7I3XMyrK5wBuk042JJ+ofxz4TywPDk73wfTQg8rwU4LtGOYzPYfYHGeepP6Xj5Fz
Noref5vyvjoy0a04bTkRQPY5Ud7dNFXqVetphSS0WPTofVse3ZGmjV1VsFKTdUeKpaqpA4f1XB8H
RIgXfcufZTDIFWaxWeBDTn7/vU5z+twLpwXPrXMmHJjh8hhUi7XnL8pBWjXVe92o/qiYm5zFuc+2
oxg/V0TwhafKBq4wfIpAfF69ncOf/HOjsWNaUolfYXorjJywf5ObKB9dCkNQHxYJWlgwYCbDl4Tc
upNqNReiirhKcBl+F02CWT8PjVhLIvliTt9N2sj4om/1P3GgdUDTk8XfDYJz/aAqWbyy/LYXbHpx
UOSnfjbszw/CVprKRHouf1ItEQIjDgiJNDiJm3ib+wQ57Yk4SjSsN55SkCn8tUzeeHHRyh6llvbF
9Afvr7PSFBXIbPvh8SL9CYUh3Xg0RbbXTXmwaT9o46AZJSWw5dh/bdlMaSVSqe8RAaXe4Pal2c/Q
GtNL01jT/WTaRfnQzbP/0yPD/70VktE1VtrN3CVKvLVo4prWZxEKEvTTpt25o1BVBh+r1YpPdpfs
WVhWqlm2aCPVkT3RbQYF1kL3Rh0T0Z9QTZsudufN1VS40N0TG07vJnQPeYl2yoGXANJTD0b+ScOn
fGzm5n2uULrqXuokzS16o6qBBDsHA9RTIAZ/Pq2pK14EahfTg1aPMrlKuvkepd5ok4pPAnNk7XcT
AUiMQjv409mjc6pTaHGwEYC0WOIW3XV0FTxMrkVKVnY/Cu24v7n9huUdV6tG7UJ7oMHFAjhJ0VP8
8TsQRt5F3eTTVetSWHo1HaHkfoJDuBXeKTkkqZ5y3k5nQl5ZFqfnoZmrydqZgKEgpxNA7mmaXYrI
mKplRZVV1xyEMMhjFxbvri9NxIRgQ6qN2OCt775Am2KdLmFs+nreYmNy9RN1rIOdoHDNuxSiD6Eg
9S3nocBgOGZdZvyWWU+SOfNcwNCiD8y4pSvw123EDylnDLlfCgtOxA4zVPFIHVaBECBsoZDTsF7q
oHXdOzUDibBRbcuPBSiezZiWueF+lczJwe2UCzf1PF/VGY/JuZp4ssG+XCgyQJ0uOzRLp0a2Erb/
VUkiMtqVcRAWZdJ3bRg7oyX23uym7wvJ2MgzNk5sPVMFo6IaGoRUegapViYYFNYSs3e0jD+rpdqf
phfXI22MZBRv7YQUOKgxqAC4jTWiTZPy563lN0PQeKIJD5+A/rWkcmaTdoyVWbC6vqPiQKMB54H7
nKOjwofWAYBUX+78ULpsubO80ENBEYU/Bds+6CtcLNt650l0vsnt5ruetD5vWOOHF3/q+4c81cTc
17z0rxv8SbOjSSd9MVarOtvTwufHS/FG7RDLFc0MW30Ihnx9l24wvBLbTM0kA/pZEyrfBgvXqZ2+
qW+Z/rjpXAvSpEMKPOjAo8cVt5tvJxjmPt6MNH1125UWwGaw3fMyEJvPbIpNYmXzFEZFttRpYk3r
8p0Zvk7aratelo1FBThNthhWFX0D1HspFBk5jtqGVXc0GfpCr0eXB5FDL4gG9wB2WrNIETA8d3VS
trG6Kx9JzkHYF1Dt5r3Xl/1OWRhFbdEZ12alnHtDu0K18rcgNrve3y12sMRNmDtG5HXTYtKzIoxj
UUoK3fRKloqHGOuj+Q/2zmy7cSPLol8ELwSAAAKvnClKoqgppXzBykwpMQOBKTB8fW+6qqvtrGp7
9Xu/ONPLlkiCQETce8/ZJzIId91o5iTIRkmnLqaJDtleAK249ncTgAJEm6K59WYubeDVL6IvIZvT
pPHpJ2v7BFUQ2Ty427BbI8covgDeCrsbOAbJZx7EbbICz86pCMUxR0TBRLOH5OfUr/bgFs9jZ6sP
p4zrA1DPSR8HTPtXNwZlHtPf7FuGyt/eUcbK8zjnWJ5dq4L76cS2OEFx43gYMtNn/Fgp5aKPQdS9
Yt4F7ser6+bSqhH2DCLnUK7adOGAPYDdWXdeaz84QdqIU6HaHsl169nPQdUip7KKz2phXEg/jaTY
VSsCBKemtJBbSD+GttICgal7wxEy6cdQ3aRQfW7Io+OGg32TH/tMtg+dG+uciRKcJunBFaLnq7N9
6nj2cVQxLW6rzj78oKMl6gYpHI2wlRc/q05CLZBOmxrOMzznKclfksUvIZMLfwuwZl/hEd6ntdVv
HGLbVqPjnzsegHNqRQppbq+Rxnk2dQPHj7aGwL2agz4H9rJQWCxptkmGAiq7YcKE+TrdV42oLqMH
yLSc23rTC06N1750G/Eys1fc1pVIt8idsxWTWw4XU+af3VB2O+J/DgMb2zrjfBl3+fhQ+a39aqNH
JW7IzsJN2XZf6EQjV04d/9H4Sm2Brsw7WU3nILGmcePIwT/U3hQeoyDyIs4nTmxYoUJ7E0ZNehIC
OWjdpmrZ2i3w6ETV4c1i2tGjQRoif2fx/lRdsG+U3f3Uc5I/xAYtZ2+qEMCaUTdB4rhvTuPHH4oN
dB1wgYa2wD7eewMKd01ShNzyG3PrYfHdIFhPmNo58Sadfi7h9BwcOOK47rHbP7tlYp0QZQ8rw6D7
EOAXedG4y79Gg72gdrRn66cZgqr76uaUQRwAUsQBVaTsZd9m+ahYSZFb9ylENUykuvjApIF6RCSc
LFH7soFlk2D4JdAKjTs4Yig+QYwSSu2pbCdUMxD7OzJ8TGzthushFbRwJbNub5Nf90ytNO1gVysW
KsWII99wRupu9O/LTs9beycyaDGw2tLI3jAr5aZAd7vIgywpE+D4uaQcOHXn5WsGpEys3UowdQSA
+KllirjaY9Q6bxSqwGNowik8QFbt4rVbJRyiR7fwPxVg6E1KJ+fUjd14P6PdCNZA9TiYDuTP/GhL
r69XXtykF9oC9aEfXPfR621Tgqu3WRIj5Y9obpZ4horQga9Py2CW+zSNKM6xPBmmNMaxb4dW6wOA
X05PvcKWu8OL3f/o50X1+9+bfv/fH/0b76TA8egE15S//71FuvkskvRP7dF//dA/O6TBbxxSJD5I
BRfl+ue/OqT+b8Cr0ccG+Bd/t07+q0PqqN/oXLrgxQX39pW19K8OKf/Jo0MShjZ2BOQy8v/knAx/
NTDaCsckygbhk1AJRPIXK3xaSY7SIUjJtIUCCPC76Z8HE49vienNmZCFZ3YM67FyewQOwIL1CTg4
NGiyPRg0jBk1Rt6abxAp0iNtlGELc0ayLtF3EOCXdymwfQbH9vTIr6esvqokYwB5n0g2vo9X+eS4
hNa2yejIMu2rH3Q4Rs+NA1sWjk73xa298luNgGFjAeTj2JXnD5xDHvO6MKfiKtakxzi+uplvb+2M
5zkGcLkJgVVTdIRvoMm8tUC0Rhe1mehmWuPerljH8cugoOk0T+XcPOFFTK4hJzWLB4pRPdFyGYa+
efJKz9p2MRyTmKYgHvJeHiCAN3tYkeMXwAQo45yo+Al5sLo1bpx8Vz79NWhs/feh4syVDU65JxqB
rinN3nDjGfY7+kUTAz8qAfE1z8AH+p4cQNOo8HYU0whOcIGEtO6YpX91UfnQuA05Xq8az9jvtQhC
rHF6ZLZNmiPuJyPvZG8yyVaXq1dlFd0paUQJo0Et2BkXQFL/DP/5/yXhb5YEtKnYV3D5/u8rwh6M
afvtTybsf/3UP5cE7zcv4Mv2fIkZxmYm999Lgq9+EyEpR1gvOAo5iHH/Z0nwfgsE/gLm7I66LiP8
0D+HJo79mxA4qGzhOQ4iI8Aj/4ehya+jC0Y5YJts5jOhcALGcH+2NIdOavyOA+C2l1c4+LKgA00c
hKR/uCgP/5jC/NE8/WfKB6tqiNmTtQcXie/wuX55mQ7BfTYiQNr6Xm6+GttSO4CeMcKWPqdVDHbn
H7sYw7f/bBIXVwjGH6dB11f0ZeARWYnvXKhfWBMh5CLgwJG/DcQU0lHEQZIgt0yoBqrArTaIfNMn
NQQZ8UrqkaoB8hvQjuVrNWMMs5swuwH57N6IhnkqT2h2E87FeAedabkVU67/Jjf4F1LCP64QX7kn
pQyRFfw+Y/oDYCKj7zuPEzE2eVSXH6OZ8zVdSf6JYgnANgfeFUYMzuGpqj/a2l4+hkmNr3Oc6b0c
rhL4YchfqnrqGZkv9c+//v6cf79PlE/70A7Yw1zuyV+s76BgbI2ghDIItNFdugjsgqms3U3QjcmJ
c0/Aoov54FT07rS1LbQafexMW96zOly5+yyfcXlGKccxVyOFsy5TLCRVBJoDoPSNyd9dz1d77Ivt
Q1E79feBadO+nBv9+Nef5fek0V9vDcUgUjkujif+/PM9r9KFpsPgyq0eiuR2li1HVZpQ8WYi6fBm
bNOB6ZRry61Vd+MH3tw6gttaIburSnaEyQ+tyzBN/bvP+o78QFS3ZW7Jt0nku66Td0FL2E4VpIbq
xIrPtGzMsa8TeBZx9q5lw3gikm8h2on7Hpx7xagSCinmyBn5fN4W/j3LObIrK1r01XENJtyBrbvD
ZQBCmBErBY4C6wT26g5RQfKhfPrBTOhdfZJ+g06E6IyY0QDDPERS47zKHMTzmxp/2NtfX8vfH9xf
riUaGOm5dIGE6/+abg+KHg5qN8utiNzyXEOt5Fw92rewI/bwkn+iRJjOwzWDaw3bHYgJ9cj402+K
9runm/6O+G6DjgPVIyk5RbEJrIYgmKoilMOKXP1QJ3V3MKaLpxMTjPkjHEbxhL6bkKUCR69w8/hW
L0CQ1wVl+oqJ53Sr8iHb9YNv/82N8zvS6d8+LHI59wq5kDwKf75xtLKRMFwfgg64931cOiDCuLTe
UTMLf7Agje4agVsyEgU6iEbFJ1dLmr6YbvRBQDV8kXBbP9sxtn/89ffwH9ZXdV1kHb4BH2zHL/Cb
IqZhV8hR4jR1iLto65+JmY80y6dNQGDHX7/Yf1gLlBc6DjN9VwmW9D9fhpr9YVTzNSZh7oI3m9ib
61Oc/U0K47+dVUP1p1f55SktVJb63ZURTBM9/bTRatzOQwXH3OureffXn+hX6QBXToXQSa47qiLf
6ZfLxy2Zae00cguJzzm5Vrl8wLjwb73WRd45dSy7VT2GHBhtu3qgcdhu/voN/IdLGnpwFwLF+u/x
118uqTVK3SRSbos+MK9ibMiniZbgb3Zh5/pr/ngDSyU4OKBRYAl3IPr+At1yWHLVXGQ+M9z2UaOs
J2Bt3me4KScwOWF6nip3TRnwcT2WDklhnRfBWJT9RG0yF85pOAwdOSpefYG2Oe6vA2OkaegYr+5O
4hy2Oo1hww/JEbIlNjc3XNpNOTaf6Fv/hsfy6/2B2kN6HnslQJjrueoXaNLiLXkzoFHdNmw7+Gfx
KvnYXTeLX1t/8+3822Wj/LpufMxw0JYgb/nzt5MsyPODwQrRwfvxTTTnFn38xZzitip2bhcNBy51
+DcvylHw16fatxkMIWm5rqyB5Hj259cd0Tw4JQyKrSnGZ4myb+sy7tuH0TS+gexn+imm7tECQkBG
wXuAXngX4C37lsXABNBmnTj7UCaogK6n/9BpBGgsbtfqD/M/AXvXvvZ75HTvtcELb2NMIDylW5F+
7KyagsZFME5HmRtv1dK8ewjhPsJwB/KdzjQLLQmHN7Vne4cNWd6pmqFKDCNAO1axCyY4BSGyPmqs
8jIg00fvF2seoEfqljWL/jH31BOQzOG8+N88vXxUKC/O1VLKDfK6+K2rreFsNZmzG7MO09+SMdQg
AxClb5DtC7IAbP69yN5nJgvXJk+VrMOpMx9OgTXHSzwEM2Xveu9T6uB4sstnrRGRq/3A50yzWPzA
6UToF0RlPO6gaQOCxRbsL7LdySbPt1Ua6sNUMJEFy1HeMyjNH8TkRwNofILGYQSw5yJA/ezcXN2V
KIl3qYjFJkpzJhihMEQ5jgg7NhG71Ne8q8Zt2lVwKjJ6PYX/JHESblD24+uphsGDvEv+xwl8iXdh
pN6sg3TeTq69DevpUMOV3juFSz4DBTtMTppgJKSFP+eR4cw4PDdm+EQwJF9TB14wk4ByS7bPlzJp
brpy6nbd0BuE/o14bbLMvZgc9P9q1nXJ7ypwGIRLCFenuZQh84R4UHcmx8jSa6A3CXbXAjMFylc0
Hubc0gTfi6WQD71R5UfV8bUNTIK8VZTEP5Xpw328RN2BCldfukKJt6rRxZcxdfeMXvGspNmkHqAH
6wt62YHqPLYTkN5OgwUgM3DN4wX/QDQPhHESftlA6n4mPkLvdW3l95Zu4gP5itZjzkHrfsACss5s
x94QdBjwyr6+jxZr2ObjZG8h2YhvViTaY03Oyr3T6obBX9MflqzsL3SHv7cmmL9n10842sDp28g8
YBbbL/WzLQgdVOV8bqL5LrKCbp/Z2XisRV7/iPAMPJNCQVnvDsAtBpy/qsnFjRUUuJL6pt8sIV4z
CODyEjRjcp839bKx9SzWIGOrn3Rwp51lvPmm1G15BvLxmTTyvQLcyaiWFOIIy1A6fQkIJT148cgQ
aMaZkLgTg6guWY70+gnDaOMvre6+0EYZGGVJ0X4vatG/xir3D2XYlPvQnestsiJ0YuXYAWxqARCH
rX8Ay1PsWkvFqCV4U8L2Me21lXWH5RjZroj4n/PqkRV2OjT0PY+wVcAy+FW8J4UBTIv5dGV8goXt
0+cJ0exWzK/XGV6EvYMJ8clMJIyYyVi03pU6Q4BAtF5b6skd5u+dkvVj0Y7+GZy0XvEMLhsPvv+x
KOXDom33MiQl34kDsXyDiHW48eBs81D1yS4JxxGzjwvGtta3QUZLNHd9FPozEyqJJuyld5ko5a5e
TrZNBqisSWOasWegpO1wLfkNkQYiyb51A9JoE8vxnmlJAS++Hu9AmZZbC2j9JimyPX2Y9yaBoRMz
rth4FlbB3m43uSHhcLJKQvRyVLOzNTk/yGMDcKpIj2+AoG5SiC8PjlXSPoso7fydW3qvbtRI1kBE
ZNsEoZEI8jPTbIhK0XwSsK8GxqBLnj3T96r4xDq/uPYk1sWcOh/2MhWP2mSc9NW4ePusc5Bit0uV
gTjxz6gC0KeTg3FoJvdJRNMaeoazGoYIjR+BZ9Wihy3UY5hOzSnBKQCh5jsRtVdjivHwffgkD1n2
U51rhLuTuaukiW7JfGAuLW3dvfVLKTa6Gavoa0x5RlueNKcdJtKe6nppT73oY2xHLrl+eXw/LCR5
9s4o1snoLsDFYaavrKZFAJeGACRkV3mQjTwyWsYISTMaxjrL8lPtWubBEin8bLuqbpO61jfSx1vq
+c0F2BDOebxi31KvrTGV2vleREH6GlXK2/YkRdymUXvNk6jrbUc00H1l0mIfTmrZJ75OvpFcm90w
PcEt6bNzts7c8Fzo8GDgc691n1EOYj/adOhBjtqVaDcIvNrkbW7fFaOG/dWweGdpe2nFT5InXHxG
1tw9qz4gVpfJxoMzFvMjoCV1gqI+n4IlyE62585bMgGiL9USzm+kaiHndgrxSMBDswfszF4IL3nv
tXgfmGYg7cGWsDMNMAsShJieJGF9k7kx220yP6BbSjZTDrKBzk6/tfm0t2QeyRP2QnkbucQS4RCx
nx2MT5ci7V2k+KO6pZFL1zHM4jtTKv7WhQYAVvZBGE32nMjSxgEV28jjSJcauu+qlMmugqqBaK29
ri5EXALkLzTnfgQm87EDm+Ba7Y0eztJOt2XnV+exQNYQ60n1a0Qc0dbCT3DnNn792C+p/JBpU74F
DlIrYk9eZyIDNugP2f6a3uwZ9bS4T9HV7G0vrLAf+iVOngYYmosdG7mKSyZY1q0D4F9PFiN+pKVL
EZpdoGVybNxA40/2yA2EKbpZvJIbP+pbZBtT5XvHLCZOtlL2F+X1wYPi59GwWtYFfEJxt6TNh985
iCnylnReEtGqJ+Lh7tElHIIOPpe6KoOW+IEsLH8zzSYHOZdkR8P4/zkmkmDdoJ9Z0Y6662K9NXGE
WqmNdm1UjpoGAbm6iJ3C80gM9bnvu/iFEhMHKdYtsYNg7iergNH7PfOD6DVoA/FYlr195/SjvnHj
eLqbpqn76GTKUNk0jOdHYiYeLNtDtzPZ4Q+VJtVNniJ4cxJ+TkSKgBVs6YKBtibhVWYuoLvJnb85
YRfclog10Li6dbVtw6B61FVQHZMmM5/FOPkDHCpLnwA2mH1XaxcJlUgFsTicSTLCrRSMC/ZrQ/un
xiuPncxDSMlWOTQRugEx8OXjJ1114LH2c+PKgnNm42tAw+TaIS8pXmsZTljaCfzetB1yopXGlhZt
MxR8PhnjWXiPW5lIwNwaN9AOoXTDD5PvccMWRCx48Y6eMwCSZ6HNyEkiQBBThogtG82bZ5RScp7J
iNzRVkMgdGMt5wngHUcmxGhnBqfdXWbAlPjLdy/IvgxApnYJscc3bRzB1RsWaCQOD/RSkgaW5Ngr
3aXeYrZDQHPdbmwnCDjdtktzbRGBBi9JNETzOdw66HKISh+SXQCSHF1AUF1TmSP448m4i0qo6QQ8
7thdQdhDjCuRZVXZyZpS/VpNy2mIPhYveFSj89wq8000yVHN8VeZd2+Jg3SmjK3y0hhbHTq7wpRt
l8FtYVTeb4o6hUpoi65d1Qxk7ktbt5tAkjFQFhZBh0HhcE5SsroLZds/WV2OzhQtZbfytDPc51UK
kaZD345qpwJGw1sYHppIxpcinJ4iLI+MrqvqfVrshSnEaLsHWkvjp8mIBkKM0eznqSY8V+vgQDZn
fJXe5PMHsQcgi0rBqMbzGcpDUd/zJCtEjG19UZBkDsYW8XtVg59qxQC7pI4Zy8bhjVvl+uLnNFxw
+JBOgMtEHwOodq/YVdh0lDIuAImrvsCvF2pWG5wacQN++pOfqbYFGax608wWbnmOMYnHoApzIJNp
IiOyuDvjs0Gk7dFq3bZOWN4iGrLAGfg1KQtZEuwzfIAsuV7tokZ3iDnrQvVkTUi1VwFNQ7QKc/1O
wW6faFHUsKeckId7CPdWbKGMjJYLcXzYnsvqo6fpuJvc3v7GM4zc3B2jA1LA5cEyNlSQICR8aRra
+uhWyrqzEzdC7T8RU1aQ0nNGX10BV0JpWgvU7kOk0k3qeuJUxgoTk33jIG36vgxxitm1SZ48Y9VP
iyQzCAPuzOSZ5ZQsEv8C69X+msgifBxyx7lzAigS/Mr4x3Up/IowJXkaxrJB+CNycWozPIKAv8OX
YOn75yAP83Az9OkPFpbiPjHj9DLaMyqLNMjrnQCb8hWcfMNnSPJDEqvltujT+F4scXMx7VTf1Jl2
jzoeemwPZb2CsBR/SfUQnRFCVDxA9F5GWHEnrAHdlzJMQTG1UB32nHm0xv/PdA5BbnhoTIDsgS5D
eqYzaF4BOc0fkzWXN3VounCFe7+7YCMNaKcs7XyoOK+d/KL3P0fRONf4wyq9uNyqF5JW5gqr++g4
RxlQHxMHZolD3tKUXVXpWOyaTFWHpBqzL11Xtu9N5tlASGwGB6u6WdCdcDjPXgYhw42jZrH1Sqsl
iK0sKWxUXNq3TWKSewvX2laQFXUwUWtWliswxWGCf2CbzHYk+xQuT0kTY7pW8yss1OrFSq0CXaeS
GygGiD+aqr/PgysrAFct2r98OGg+gkUGgq5+8q+ej+ICzfg2n1UwQidomHVMsZKPVhKnm6DNOIXA
vQSLgA8TaZOgYWrbnO/4zw32rGjamsU4Z4FIkvKeA8991FrmG6km2TtZjVW7jQSzRxKXQAE8uknS
74vG5bD7j2iYmkCfVRvPj3xQWui6nSyKqtLds6nP+ynwy0PuWrb7WkZR99M4WUFpTeewunG80vfW
FAZyPIUzMVAQX0Qwb4oZn9mGk7RlnW3pkzEjZr8gTEHKt6GcygPRzu5jsbjhIbXSZl6VpgYHwgk/
q3napcZJXpfjuWfSzVKwLMO0ivI0THZlhSMBRAOHW3Rkejt37ezc0t67ptOkkkGVqrNlJcfGOk6N
rGHTh90LNlZSEq5u7rFhLttZavq56HAhFwbv881i1eV3KbTZdYiz5Xpmh0UXMxr3toRn8MXB//4T
Dh2W8EVaH3z05n2Ixg79SoSwnK2QZeCPuTfEo833XY3GHYEnyb5GGvuWbljMem5Q22+MW4DsJNDt
nJrQvq+x8iJs7ygXg7FR3zOSDumus3B/aQQaya1yx1PWIyxajyN8Cfggvn7vmhDsifaiN0ZKPFem
SCn00vqpMpG6jVoZ5ztLud8LhwbUNV/H6z2GJ/Qz99eQnTwnOxdtEqiaarFiQJBB8TwNU79zbR2f
yEoWZ1I6LRof7dBiHTJg4+Zq6Y+AfZ2tttK235ZO3X5hrm8OGdvXK7m9Uc8Kn/gosUbR3bRLln+r
OS5tx7HuDzyqMRCAQTyQomVhOclBvzHmJ14CoT6Mg/U0zYhmJfLVtTeZ5S4TgsKAavi7Ixt1pLsa
nxwzfXbCfLad9WJTAqyKLBVHV6BpVLWL9H1kCa1lNby2Oo5vwEmEtyR3pp8GuwM0jjqd7+lssTOU
HKxXynKCgbG9uIYGpVDlJm19Eo2Gbp/Z2k/M3mP34/oSmHr9EeXBlHjosXzHwB5ZTEppj/cO9qYN
VnalBbEpXsSHw2JBCb68yrY1zAMXcu2ABuZro0hKmKLgwZBadNezBks+VrRJ+4kc8RAGx8kgbD4i
ICNApJnfbX6Lv3IsnMwUJvked/iERDJW06adl69qoA8X74EQvgdoCc92E7hv0F745GzDK/qL/ZEZ
Fyi3qnRf2Z3WnpU0JGFF+G8tpAxrzjIZ+Klcba6pSMAEmxOsbpKV+0Z/zMVEu60cSADU1LrWlIHs
bsY+WkcVBq9aDTwHlpDHjiNtvNJsVmDmJrbkPnemvQ+vYV/bHQr51kcoFQ+Ovu8cq9rZXhsc6wCZ
5IqVTjxhMUV5VVmI8sZMTUj3s+m4iO6xjNrkgZyaVRlaXUENOLh3ETTCPuM+nP0ZFJ5S9XzgG++J
uHI8hq5q5I5NwlNtwrfRcoNXFIr+TT63ep2rRdCaLaeNZO+9GTLfvVNm8PH7pM2bEQCmSlmWaw4H
euugQlynRGytvDAc76YR/CC9BGvehm7CtK6ivrqASuKuM6M5QU1Mf8TtwgZcRDjLJGM0ACDVS+nL
/DkGC/JoWXHwyry+piQiUQ2kx9DgVsclBc0xAxzkVf1VIJLCCtaF89TP5JI7c4pa2uv1USxQC7Tr
XnlkV9Jtk5tqjfW8X4XeVIIE5yyJ2h3vDtZFe1xbMA+BRFyBQ349k3abhgTw+BaJ0YTcjRztUVxi
AcNeuFxRobrcdWkwPPYCB1HB8R6RL+2RkbLLAbMSytG6pMWc3TfkNsI9Kft9UmN0GUfp305e1RzG
HH6SagiAk6ajBupwMbZRph/SqX7AFe6+iClaVa3zNa39byGqGZAqPqGqnPiarZ8sZYfU31/3c3Hn
Y8AnpzuxHwHkueumctVNOY/FXdrlzxU8DkwJJvnZ4PN8ClrYMODloiPIwWVrNeYpckaIyJE/Po7l
aB+GQub3EzspOtjqqhgaHiFaxfgGynLf9a2/c0q6zDR03Tt8PMNewmcEPlpXK4Yh74NqYY3GBZm5
mKOhqwf7AYg7iXn9z55q5WPGqeFqa1pfQ3rWkyQHliRwhNe6PNpODbgPXNk+SNB4FgQIQd+iO7Bd
3CV5Jl9rBzt665JYdRTMurbkZP7wunI5xdgGzmroW+TBuQeiz2Ilreg/7b3IHnY14eJoRHtHbR15
bkioA++R445pJdRzEFYa7SGjZY12qTgptM4LCdVhVt2b1Brey1B+DMqK94M1ieNc4RnvVeFfMJev
6w705tIfLE19V/exd2qb5Ezvt2Z2UO7rJLvUloSlpZeRpYly2BnLiXa+mU80wF5yAFmxtoM1g4e1
k6Y0+8ygj0h6TzGQFGqJqfhwMafguGm/Lkt8i5gOVkWc1ijLhIOPgdm+w3ZgEZYnKYEWmR4DZ+4I
bgpJPAFnySSLo0dwkhao23ahQAbOF6xqVxI8LUhTja7lBE7n6WulQv+EXcnbuLVP0T5Mu5g1d2MH
cW42aOC+12XlPQESr4ZtnDjI4EfL8XcQIvtDMc/ao9dSJzfSSmG9wwKX760RVvwNfFzO49lqRKFw
HZ5dSP3UWoZuWz6bbc5zq9fU0ttFqTncMaCgldGm8yWyvOip0WhYSUSrw32gnGMogUXCE7pppJMy
wDTjOB9wX6bfkB+zKwYZt1SLqjZ7tlJoNR4VaRJ+i9OIhVhIFyFrg9Hy5KfUJ+AgfAEqN8zySxgH
0j0yzs6K9TwwH2FAm90WEg/Jkk/TemywYKHOTiGcsh/6IHqu62noNzhG0sdsNPnT0KN1X7NuVHs3
W+hpjhHpeSs/9YN3XRXDNdBAfvyeNtd64YCZK+Tc3FHXodidit2y9M6aNCwBj1yy3Rc2XzXFoKFa
jDTqEmW1bzSKW6AmI7ijqQ9uAl/Sw4czRfCZZLUq7oFPoJ3XzdklmaAr9bfExsbLnOsMQx0PanV2
rfgEz8l68sQ158GLq/giOZDcccclRDhkDRUxNJwuBo49i49WkuMVz1j+CqB+TJfmZlVm4d6U4VcT
m0fZTG9e1E39igeXJx7q/nEiniFWcb/3qra+DxGYrv2WG71MaTYS8XUV2Yjhkb27YofM6ZJlhS63
lAFUqr3lIZwuFlN+LoYIqtZzuzXHHoICEvLUg4iaCSEhKhMY82sdduMTDOb+JYbVACLTpUldyOY+
Q8BgF/ld51rRVkwBgfIqoUnR1VH0Rr1QQswUQbMJCGY+mtrtv6Yiw+fZkrp6IprFxmwm84yDb8pY
uOnZdEuIa4wqSPaGT5HF4WG2xbCxKXUc1p+yvreLSj41Y0hKwkj/NLUthiMye+9iS+xnw4pLb3W6
S2vZQlqclrc5oGor14yy6Gxg/UzPflu+jaNwL3hVo3jX9e78Vdtpfhg4Hd/BofLf5mYRNL8Y63Ek
WuS6zubQvpsKC0F8EHAZ0INZ2b7s4ujs0hr6QW1KFQLv9h6PW0WjguvHlbSSQGwjKYoXSjjUpCCC
c2Kzx1LYJy/EopB0Jn8p++bQDnoEQj6+9h3qUEJOXxgg77VQwaFglrQdFoIm7HnGiSZbSY87swgj
ZqTIupK+gFktUIxoKhPDjbYqfLv9WS3pvW4CTBbpvA+ItIQzVG/9fGTLppG/XlRKBz7RWwwABtY9
4Rorz9HEz86lQ42PGgarp0y/OwPIIUSNejwQ0te+2VVIb9X3mqPMnOajyunHbiaHG2RMW8x+ZROa
p0LiMVk3os/JqQAE93taY5Co8sWZ/K7dDzTrwjVJ9AvvC2cj5qL4AgTpvg8GThZGpzdMThg5OGVx
mNqwABdlD0CkvHJcHhfw4weEZ+M1alk5B5XbZHQQFMU4ASfGW8aq+GMRsOoqxDVPvsZSy7lQpye5
eCxhMjAPfc7YzDgRhVztYFtIHSIkVVN7x9YxHpkOEFnvR84xN4bY1p4RmiabIklIoYPccg2U7G0H
P27PJV9bzvCadwumOrWobeqbdj8qkXGsc45+oNkGx0TuSRtYuhVFqYNDCktX0jJVxBbbLJdKf3RZ
an3ikLXWbTBYt/n1xDsuTvqIXq++d0N8IjWhtQ/ZsvgHHiX3IaQd9OoBJtwq/JQbZRbIFRJPlbOA
HJM5qdFehuyXWV5+i86JfITAcHaOGhAEDd+P4SwHcU6Mex+Y/2quCRZY5U0kvhS0G2CwBsSe5SH2
x9T1yYcI07tc1PIHyJUgIqGDaLc0zwgaGDxJCu5oZesiGcYNPSR3g4VwACBq9W9tmsgnwf15SbTg
VoqJBBy9pX6USLWwrzj+mp2n22QssjSojHe0yaugm5LP6Ubl+NLTUud7xOD9lyZirattl4H+WKFs
W+GH5hNf7VQgySvBZCkOiBoI6uSHh472XRqVnmenazaME621g1BxhY+DAHco42vHjn2uVAHoqnLn
U2Iptpy4Nnw7Y92ob9ZovVdq/oxN4N7J0H3ghqJbTzdpXRZ99pBYohw2uJGvlYOXlNM9kEld7DVV
77CvWTwTcBudOXBbNxwfXVqmY6nwrWVp/BI08DmuG5GxN3UIDmhtcWWRDCzhbWVEdJBB2f5w8Mm7
9NyjwO3PREfOx8qegMTnFta7fsyQzyR9Gl1imkVP3F3pl7zS4m10MJpgoYq3RLbHu6iOlrOPKYn0
kqsvPJoNY+dC2G+oLvuXfHH+i7sz2ZEcWbPzqwi9FgukkWYkF62Fz+4xzxm5ISIyMjkPRtI4Pb0+
Zle16gq6kBqQBEibi7qoishID3fjb+c/5zsIU0GpkcMXJzgnraBZKFDxzzBegl1Du/QeqN38pOlJ
uq6IjB94WhR75bfdhdJB0lwLNdysX5zft2RDUKjSVxY8hJ2Ii+Ii59g5W8BWAASmbEwWcBGHjiju
LUILZTlJbn3kcaxe3Y5Bu+KSdKIZvUOHBZk+pVQQOL3aF2IyX1aoxZmqj8jZ+GKkvSdx0muotNM9
78iCkdpr32s1ZD/csEBLh0rw5PtiGDcz9x06Jlkf42CALgFKY8r43xyV5Jkse2hAZQEMg1LRd0/O
VHa3Xl5reWsH1XDpKV7Cu2SNZi+5a510mrBBX3L7niBiwE1Slc4pdJJi36gej4rToOqB83+OBlfc
Jk3NIOL4iDaFAIQS8tFr4o4lZrAUL0lbYiGxsFAtXX1j1daLX1k/Xaydz2Vj6UfwG9HBqqd0nWpp
MPfS9NWmJvVuBgn/7E758GjRdEKfwMOI1HoQXma+5bXq7qXjTt8sKn32GUaUK7dOA3p6I/ONY+Wb
AiJ9M1vrfDCW+a2be+KqKjr7WMRUlMRUuWwjOeRfwxB1Bz0Ke9uWQ8pVxeZ0wGB14m6YQo9rRE90
3fckqepOH4c2WN7LWLfzhryR+FG6FvNY19A8UjAnXwHlooQY1MBJA9/Ydcqnz7sxAor5ao2oTMDR
BEO7bBS6j+qPreubS0NAfpsox/kmQ5pMEDSHqIR2UzoPiK3pFSBbF3hun/Fd/elQk+U/xxTE3Te+
7vZlGDo78M7UyThIGln1CxDXQU08MwraRY+M0XBBZ9fTQC/ACEcre1ErVGMVxO9BknzhUvoZoLZu
qac5pJFzmHwsarpTdOPo+mdOJxIUPOtYpW2xKcmRN/nsgY8boGfG16Nfv06GY4e8124qWAxZzmyz
N072fGS3xvF2Q+o7kC2ap7lzTjiGtj7IntMMxHArxxQHAlsh2jkmFlmBQe4pO0Kowjottr4Urncy
2XztadTv2VFshPiWpy6YsoPXx/iRmyXlMmlM9h1mSnuwQHffwG7LnwT7r2dZcWOslxQpvKyd439e
1g6IltX93s/7+IOAr3fDFdg+LKC2SVmm3ctvP+P/7sTI/0P4LI+mRfx5/zwJcvORkATpkr79B4DW
n1/3b1mQwP4D3Dm+WRVKlDxq5P7KgvjiDyW5lNrYC/EYkgL7b1kQ8Qezh01gFHNeCCWKL/oLoCX/
oKlIhqFyhSAhFvyHsiCOTZzsHw2iygs8Dys3o4IiYOKvjsS/pRAExvKpFxa9N6DkhxNKeLoD76Z6
iJREDPKeQ7Uv/dAFqD4s64ZjTSU7vwPKlm+lXEqyAGgHA9G3kuxYeDsYe/0vqg6HjFbOmkh3z/7E
5hJT4RqVLn7HpmmTK5oH2abpm8WcGj+xyh/rB7oIKD/gedEDGfGqcdi0lYqoKC/GFs5g0oQBh7ai
rkoNmBk3YYnw8idxYIb0g6woq/geTL7zy8lqD9yyEljKchOe9RooFzn0alo2uD/tIDJ62HNSR+cU
vzXjNToHKXW5BtYp4hsvPVUrwa6V9RDdRr8z7mxK7fwRtMM3lPDZObIbICCvfbG2KUcUv09pAr4V
u5qXXXONcOie+p26F8BT2h2RZeo9aGEicB9YpTq0v0P7s2A3jkcyS+HhspPYx8CIXpTu3GvWJ3N8
wFwzFCfMW2N+aafGcHGOOxqRFDkTHoddWPBcXjEEondy3Ia2Z7BrwivoV3LBuDIM/AJDtdMGycPk
QD/owCCwFwaI0EErNdR9lyjT4dj1GxpbAzTBIn3juwEYG+L2PpJWUJ9l0QBlWH4DGoi6e4/4nJb4
pvqNcFCF8cINdCo8TRUezekw4sFDRsH1utxgwmitS+yz/9ra2JmsUwvh7I1HzWiOhgZa3IrtNIdb
+RtIwTZa3lfT5KChwjOsrgO7hy41hNhYN3RpOCfZh6AuOshi4dn2cqKLMCtgVASK+MWerXF1Emw3
+p3j4l7ax4vgn/th5Wt0bpJGhznPB/rXkVPnfVJSirlPfExRXPmb6blLEqs4MRx7n/ha9AvMRfZE
cdt+1V3kTCxgRxBv9m82yNCCPEAoqkPuBLY5xxQVEW9c/KXdEnwi7mChJF4oC3I/m9Ax04nZGsBm
MsUd94cQath2buP64o49gb60afNrmkDh16T+vQ/05qXrDD11fcRuKjZOcgnG0bdxDZbNW1BlziPj
c/cdq5G6CmV+GmrRo7zwR4snlo+oLOxRevGctuSJNo7NTLQ1OBOf0spdvsqkXG4GabfjtgDT6Ny1
zCRAaOqcEnOBi2zgCRWXN9RCcOGh4BKIkp0N5Tt8fH3HgGRrDIYN/VCRHdIraEnXe9Zz0njYJvBJ
IPEHbr/H4CavcfInctfEyG5sQ63YuTIuZ8Kmi0uPZItjuJEl9Yx+nZXp9z6sCRRRSs+73aHGB4sR
fO5djUjFfdmOXq2liI4wyUnvTBQiFI3FRqdN6E2IvOktHIBd6C4LqDLRbfk+FzGfG2b6/g7YGLVO
XllfVXYxPHeY/ZJNMRecBZgfLqnnufcgqAiSeqGbncxQl7iDnYK1H1NyedK29l6cMu+uunlc3Roi
CfeszIvogcoFdrG+C/rjGM56PIBvST5ZDLGszLjtEthEFeHtUejnlEjxmYGC7KdXVDQaAFlz8RH4
qvjC4tRe3HbB9gi8ZHkFllf90AiD4WEo3Ck+slYMINQAocDqMQ7YGuLxNtE1FFmqXOG7xnUxPjUj
BjkKO1f/cEK6vAOtVWo4D1ydLwM1huY4kX+D57+Q99rlRLIQFyLeq1tps5QfkIHvCKXXjNawXpw4
8quXIANwvRsnPihILNAMIquWcufzGAx+lNbsbgoO/aNsR96eyRs99fZnbwpnH4g62wOSaQ+hSTDm
dmBwOMJxydTAu+wtqzZ9Uh6ZGZQ/N+TYz+P+onHCVs81tHbCvhjH94Ono8dytrBizTmvqBKjPxDl
cNJxX3BnfrANrT8biERciANfetaVt4jsQw1RPZzi1Db5jedGyzaIOXK2rE7KfSNSW20W05p7/Nzx
M6SKqtgN8eT0nBcpC1NHat6JoWTPRDIvHF/CmUYCzisnjWhCISINfcxTD8WkLYGFk2XYNjVs7CF4
rzF+IZPmMdWCazZnA7AouAgKOyI4CO5DAUBBXopU7StOs3Dr+Ol0lfepfeLNvFjQ0gBLArVtUnS3
MOxOgjUqtQ1ahqeKHeOXovHkrUJhf7CGnnFz0unyI8fBij+IrAG0oswENeVGWGm2pHeWM7V1eX7q
cIcgBKSznoHksgNDBVlfhIpyFnvMy+yeXs6ZAQGj3AfLmZVVVVXN8wxN5qa2m9HbwR0mReDlHK2I
Gi7CjB+Xt5Oq8QwEyfA6znAt8jkO3YNtgcOkzCQAURdAD7zJw2V+HhY7aNndgYBZawc1Nnxlgp/+
6M0nkm3ObYQAs/pHiIwx5uaj3lRjvNSIJlhinXRKoju09mk+eShdIdV91HBh8qByD0JU+K7kLB8I
bl1pN0tpiOnLR4Pd5MrJlj7ZRTBAji6H3C6KB+uUQedl+z59Zk0xbEHps0G1u9z9LltQXSBxluCt
Tw373YbeicSb6g9IcE5CB8aQn+0JGZMzZsVjxNnTzE1uW4zg3ndkCuhEYBf2CHfcJ2fq2+I4uET8
ypiatAInBzvgeL2URGTp134sdEE8dFtfS7BWfrRcLE0tLTVvAEe8AhDb9wQT7rUa8pEdHVbgqbQN
WElsTpukGUF+ooISUI/B629AmlJUm8TjlZWMsbe1WUnvSS3OPtGG1L8d8N3T/OvFX96okneq4J4t
hwcr6YcY264/sLxJJxDPZaLshdHDb7iecxat965FDGfWj+pTW0ljH52qENZlyLKz40G3EG0UPHgC
24TMU+e5gMv2HUN2hzCW6eGXCvxqZDbIRXmn+oSdYJKNFlQnseRIggHat+2MtYMhLZ8+YxGHX1S5
pMNrDTRv5dM79ZeWrt0+jJEgLUnjmh9eaP+K++s0dHgZ4zg088YboubLjRHqGW9EMpwjcFkU9TLO
wbJy6jK8VNQcPWk7QNhLcwvKUdjV7hnPe7k8uq1+HJCh6ots9bBmncb5YcYTzO5uSW6AbKWnVM6d
TfFky6034ZHVF30JtMZLpnoLa4WPCYN4f58ubXIugxipJLPSUxSyqLM9j96dsh9rnM2AQzF5FPvQ
LmKe5cwgXwj904us/GRv/FHs/DomeEgN06tl0boMW8kO+nMAoKH6YBlH3ScHbfiMXcv7MoPG1Rlj
978zYadfzQTnLMPB6lzcfC6uO4EGvS107LwJ23NekYWs245S42NYDDHEJDbw9FHh2Sn2FBm6G1qd
CIC5eeP94AFZ7HhkBVQ6B5b71kfdh2g1ndbUqdCRE4u8+QXLSb85qcS95NAPb2HbNwwcVjpXrzo2
8fNY56vnRRENtpkXn0ZNJVDAO1mLbxTJ0Smql2L80Xt48TyL7hUnSvcsU+cP5DbF2jR5ynKBRCVc
Tn646W540SCD1clmG7Bc5yDo5kNZVCa7TWsUnV04Wli6LA8250k0nQLT7cJi4czzKUyxnSqID6k2
zaHztTvRYhv0zx2WN7lNRSye0ix3UgoQeJQnc948tnMX47tqFjThhTRWTp7f7KrFmPs0SL1t2BHW
tYvOPQgSr4AzvJ+eUrCEmpXLBHs+wweRdXPyVlLyB6xMUAtOIVC7Ih5c27lpXG3uvXECtpU1eAdN
utcqmS52GeLSsVW3HTqW9GbESm866Hsg5X2kIZeU4a2ewv5xJF98jIVIvzW8tuyLVkeHq6q8xkwV
WoqmRoQpnECJi9NjsKz3pIcodWFtCKvWuKX/MrqDsndsYB13W7YDgM8i8LFY8aC9jb31clb7HUJK
F+IhpY6Ozu06DTN+hXJ5d9Nk/C74KRRVJwnlcQGvd7Pz3KY7em4LqV7EoP5SJ/fu0gTAKQMuJyw1
dwzrFFZcIreefpaRng8Ky9GZFNqSnoDfejdcGoLoorNGfGY4mHeFw3WG8GICnSeBVgLkjEXl94le
NhLWlecJfovRviw01J2Q31gPTNfNsz0fZoftHlVdn3x81XWXF2BBKTbi6c5eAZp8khTNbkgoE1/t
MhSAyPJO2AxD+0jbqXOh7TpSB27ENtvY1Mq4VXG9UVsuucsx9HLxXdICqrdLb7i/4sD3Vj4n1W9c
lEI1v7RRh/Jj9W6YHYiPJV+DbiVuYuO803m8QtZle8objvkF8zFFAb8VNogoe/oM6GDDQpZtsC5T
oQ6gHqt0KVT33bOwlcb+II/KaZNXmFNFwNqySfJDlLG0p7e47i66puBs14XR6txd6Q2r+zLbmDHG
5jOImLlGUrF2FzQBjbUIjOFXihL65GJwT8IQ4UxmCqQftVi8dRf/AA3FPrLfCS6IYiPsMl2dG7zP
9/6g7V3TKoVDCOpisZ9TQz4jGmGgtQYnYFql3Q+ca6o/hCLs25PfV6yRnKT/avpluANXXZMPFDY7
MlmjPG/ENNsfXj/aOyR55xd0suUR4ja2BLKD16CCFZA+BPwyicabesAe4RPJ3xTo7jMpx+GUe+pH
Zxh4chVTRC8q9iwJtySh7WOXFUy8g3LfliUh18AUIUpoVEalX8WQlueOODxOgIDXO2NCBqR9izO0
uZSy4wca6uY+4DF8SPs2/s5MgRuWw089efmHLYgBA7+WDPoVkQeCS3vHq+WZnlb6RJrePmINb7cc
nLu67tyjk1b+l4Hje4rs1ju7TX5aqgBKpDI5HaxTUx2ysnWfWnIIBFIC+5MunOoKrNT4AVYKzFWU
Q7kL+9meTgUyc7znkBx/LEYZbAO5o0HSymDNYjB0acHffTuMlv6QOT1Se8yWkmQ29YXs5R2aRVyc
0+t+sQHPydukye/HwJ1vlfRYwUryMdcjRPEQZ1W//JyzLs8QjCpgol4ZPM9SqetZNNlWkRDiTlwA
Z2hym6YiL/tZWFN7bHsSfzxMWEt3xsGFJ81NpzhEe5XV2bZxpYyOZR1CoHDmoy5ov8WMMuFuaBA/
cpw4L4y7Gr4y9o/t9PvOAdZxpzuZ/wqwQJxlWy+PwAmXd7zR6rGqIbNvaG/qtlp4bAwrG0N9Kjku
UW6Osi7Oo4ibY0I37B2FrQ5/oYniDyHrimHHKr2Da2CXscqS10PB/dT4nv42YgKC8AGPkxiwfCxC
r8fm104P1DciHNlJGVBVlH/ThWt/i+ySxmXTtreQznAZV1RINnKVz7px11A4vWWikfdkCBX7jDS9
NHTIa3c2JzrFb2H7jVtP+97VLIXDIBUu0OhcDewXJ0QBdRJMb2ztBx7GpLJsxjsaL685qLI9H5ng
rbJo9gSQrvW2cqkjAcf3DEI7HIgND9OzIk11GLuayLAOjbwLoH7AoM3UfDMW1rjnxCW45ZKWnvtY
XzDoNOJqcrKm36OmQf5MuncrC+xn8BVY7ie9dC/LEDLtxbn7pqfMPvplbvNbXexTo/j9t1Xc7/0O
HvxFTyNjyJjghiVcz5yz5P7nVBUfsG7T7VRTp6MIr/0cZj86cj7Uj3oZR8ahyLotXBoKvWh86zMe
rAbuBjx5ljtHOa2NlwUgq7rwbxtSwiSquQ5gEkq43myiUaZXpIWqs2+3tJ337j2VHeOWmvmFgSya
75UHKGKy+nnrdASlV+Ekg9F6TKasP6tpQZua60W9KlHKd+yxWwzrPEkoNbzydd8cZ+4boAgZbKH0
yvlzSQv3BeS2/WtsDW2HSyjvzZIeMyWX/rax5ny8SQaW03yv5ETR4Q/N2r7bW243nRi9518JBVP3
eScFBnoMcq1dEg6w89U4OLNrDnpSGiAdEiapRcaCcRgaByhWeCkY0UfzYLslKFBZOTz0Nv9HFgb/
37VywETyIBf887XC4wc51D75qP6Onfvzq/4ETAV/CF/5ISoUDDnXh04w/uz6f/0XFf7hraQHJZHy
fyv7/75TcFeIlKB4I1T/jp76iy/l/sHVAs0AXJUdsCOQ/xG+VLCSqv6BOYFjMvRRenzQdy4f+/8O
/YQkMFE503cHG+RScbSiqYtu8BwZzEVhrcjkxSjX3bplOIZZBipY08QNoMnKy9uuDYnSlCIOMGvn
7mEk/3ytdJin23ImYbn1EeqxncHIIZxmILJch+V0IJ1B4C3X/tgfESpAsAwDQhEtGhbR4dSLbrhu
sEBIIeqckxAw3N6YsmyOCiLt+5JO0DodypIooyddBoWcEjwsO1UUX0MOVp+u1hj7/HA8TnQr3y85
bmfNdWfPlJNzEuORbrTJHwe4GD/AN1pcwaaifLGLSH1Sr1R9E1RjtdtZmIzRCGNtcoi9Lv4abPJo
RYCLaKORq+SmGaG8HTH7T0+djVOTcaAV17avzTs+wmjXoMW8uwElUZuR+eA2nbuWmqHKydDBqp55
l6APCQ3qpNxlp7KYdvWhRCraDO260o4JZN2VLSuPzeyY8L2pHTf+sCvSD5u0nq18P4LZQJ/0ePQo
D6cixwTJ835M1i4woryXrnMLOiXKwSyUEYaDexUMc1cdO2ppHeLytOMi9Jo3EHsZie6+7/gL5IXX
rAmnkoBNlX26vckpGvKa+yJtva/EcaYXHiQsM8wcUeA9Trq6NOhBK7NvpPmDcMpr2VXFcVgCcNOl
NBBIq1kjCNmLka+JiftXrZuc5zpOlxD93asfHUWf3Z6fYHodxr64r4CuPNCFlLWHaO7DU5L23ZHI
dfwtiydf0tIlUz9g+DTYYgLfLG8GSb69YLJxLGyPcP0OMMVmcbK8IfuQ3cBmPKzpcr1yfG5yG9na
Fb8zZ7A2JaAybowDAR2gnzOxUA+xY9vUXR+xWAf3vA3noHs1al2gU4k0vWckXq6zNIQ8lYZtZPZD
H5UNb9hZRFvqrMcQAAWq/XEs61YfozFzm32vS2CNNjzYo0chxHVXeuIBJH3wkmckTUJ4+ZjvK2o8
t+FQLveUuLnFGkWmBo1b6SnVyr13eOpTimUn7bHgjgvKmCKddzTA/Mr3CVkQHcRjzyzq7xzK9axD
a9z+kkYzMR57WhHWbFz2YVWr9zDOKBkriZDCdzeUae+awYQj/mZRHJQW7Tlwpz471G1iDnZtEx8d
F8udCYb38SNCLXKkTrLwm81V9i3jhvmphsC78seB3Q+eQar9oCVvvTp4MzRWUz7rjt5m7h3vw5do
6nexF9eKy92IfyScCnOnqwWWTW6Md2kHj6zTUgxRdnDbxnyTddJ9JlkMaKTw56DArTCxdRf5YtwT
hr+ZygVl8ydH9oDdNiIZkVxpmgpxFmJ3h5OMcXfYTiqka2CCbmDv09ztVmtDM97M0GudnWhE21NH
6nClr6OAj3li9zN7UzYmiH68YT9qz0rRERsrOokwKb5mbRxae2L3uuITvmx8poUf3JfqW3Q3eZxs
alxgYYJBEJHr/Wi5twAV85UHspoy0dvY1MN3awFWkBFCAvdQh9d42uIX3lHM2mXIu7KieOvAw2R+
z81c3GoIteO2Zbfhb3Qei6N0+ipkuhx+ZK03Af+hDndOZnYhyZRP+KboCLsqe2dQ1xQOLU8cNrJ8
JjAcfQSZFdwi1FX8Ab5uLx3A6G8pG1qzoRoC45ddlNabZnl6i5XQ/kWzAua6IGvMggldF2Qw/Jj2
RFF/9a4OXc72VHCVhKAQvHpwP7H0kTSzIOZTVrwaafmYsc2FbN5XiytuWn8mNRTVkjo0p8DdOiIA
4lDNd17X9Xj4szq5IvD/Pe6d8kSqSmx60ZiPYjINmcjB24oO/y9jIVZgjrMSz5vGNzbmBGk2SLNi
pU6TlQshlJ6I8oCJyi0B4HCZB6T1Xp79Qi/fekBCDRyMMdg7DfGwUxv1XvpkY/+X/LdR+ooFZaE/
KqE6PORxf84ngfmc22vDcUQo4wu/l3+HNcr9bllDeU9fT31wafx7LeIpSO/LpCcLQushDlliI9V3
YnYTOwE1uVszNmwGaKXdspWugz0ruxDjIHgh/zm2zPBr8lNR7gitaORtz283fdfRQ0f9uiHsQ2XN
Np3wEGGq88s9wikrMjnMVBDLJbo3LcL9nixKPOyC3ufU8ixHvXVKeTy48wjtzbaxG4XF1guj8SkP
/elKWEKcKLYAp1Ku+zgnGOCV0MYd5b157+ZuJDpc1pS0sKCDqLJ+Dq1NQN/DtRxal2gfXkZabHeu
0m91jBMnWsvAk7UWvE5ldJUiIFSbqfO+prVGHGIs3ZgSubIfmnnnzen3vMKqHmn/p6SHnHCCxZW6
AM0TxSW4Cqp3so2MJ++t/91nXjecxJtEdkTcSdaN7tlTMne3s4fedB5/t6VLq67JM1pKDtwnZldz
9ysMCeA2aKfNlARf8NoxPQmnd16TJrCWTWP3Ke3weRFMtwtvn6+IOh5iegOjjpcUZY8Fk42914MU
X0I7O+VxZu0FJnPeK9BxydvR3McHottR6p2d676w99Qu+4+5xEIGzANZlivVjzJIxa8gjfr3IsCm
OS1z92lRgkmwTHnpbrQzjKCejNStT5EDuSTqn/Y5O37226ROuJ1ntWW9eEkKDCUah7TeAtzT1U7o
FP+fDujx2Ze8YeJd2YC73ZPkc8lJtfF0blLLvdUIsOm2mChd2dMU4n4TfpJn53Bxu5+BBj1VEvHk
vRM0xbksWfxtOREGxKPJDu4W7OO0rVRteDOSvLy2ezHP294xyWfZdC5SfGtxOyMR94mNDSoNW+P5
uy38PtvNHioaDNAAec/A3PaPlXLK1fprmENjVSzgJiUUK3IW2Q3eCAFrJ3fXhc9E5Kts8c+LmlVV
jVD7yhC1pJscrOqPTs/tN0Pz2AV8TYDBFlsq7TlzPt3GbYj4BZHKtra+IzE5dq6T3RmfO9TGVbLf
NcpKlp2TkxqCRYN0JFsnQGTjsDuQX1iffouvCx6rNn+eKFjPy4KP6Ra+ToC+h1o3hkv96iK8+FsZ
pDUdj77/LRu1yU7c1QhfI3SxHItFi/k85Vtep7U/p3copvHNlHVQWVxknQ+pQv0gmlI9Rl3r4yoV
CjYD4Ay2BaURvE/YNfJ3dgtjH4Yu27XB2krcJ8RLLAbTBwlLB4bBqmPTuIGDmmNcvlJLRpl2XCdz
g1wAmnkfJJhT32KZ1T9FW7ICy/uZ4yLG8kJgA9W8OUamLz4YFKLHeZjm+DpoGgxytcaCyMeGQMI+
L1O/ovkyo/+AA3rud1j9+tc88vD74zLp7wzJyavKDPg/6M79WRrpPI45tPud04TFQ7JM1gtqXvhK
EBShZgjDnwaix8tsBeNVIKX1PtsRV2BiHsvDWGeG5iiHccHTPeXyJV0bR3I+rDlHNphnu4rnNyKh
LDkMz5g3hReH/tzcQ6eMCzvLj3Wf4rTGQ1DQHuH2DSkqop8YpK2CKaZL4QqeEGLLi/IHZOd6SNwz
vAzazrWd48QCwd+xtkoSPR8jl9T2ZelVfiWNN+uz8Vb2Q5qBu9gRmg9/DdVQ/ujaANYCl/dK7Dvu
Uq8esXMK4JNxasHcJnVq0XMDHOFCvSlJTdfKGjhJCCRkHhx68qyPGuAavkVRrOtisF/ZOalYlE5b
PFMN2CZb1cE3RBgneJQ0MXTHkHcadg/awSS+jsh8UIGw6WZcFYexx7DfTwVFoILqqOOEb/RMiEqs
qQiL6noEXhoJWO3TObjgqAXwX7PTtQP5jDVDkzaOZlwVITPBfYH3k3x1voSxuGZzZ0VHIFem2LNJ
M3uQgZBAtm450MFIJYhs53RTJVrrm2SpGY+aOsVgIpym9G57ugCii3S6Ibkj8WkURThRRAtpl/YY
4GT10PvYxa4DyUyC8kWNwDGkH8g9dNOSpGfJyjT7lsZNW55kG83zocnBgn8vF0TokOUQJWSzkdF3
tGRK73xAjD5DUu9GdCWno0C4H7qOMbNlT7911pRmssaI7O+uGrp+2/YweFgENwK8nJzDax7fejzl
gQMZay6ddi/II5xqSpeOPVk0yRiopqekor/kTKA+sw9J27jBhjAiTtHa80d/C9Cp7umCFbiBqYK0
dn08quNcAqHBaoLB4kAPG88ueJd+dKk07HSxwTlEQpknQ5nvKTkquvcpZ9xu9DSXN0R7hL+1IFmy
22WfHDSXyq7m8BSxIMA+LEs/eeUhpbqzN/UA/Iw9jtfDCLSSOEPaDeVLQil49unwGa4fYtPPu0o1
6/paR+RY7U4N95kOw/eM4Q4sITZFf9fx12EpSQ5uOTlxQIlTYnlLsQ8i6XubxfL7g88KEjtH0FpX
aZm/h/CUmcidJr5P8oZnohc13y13ClkO2Ms9vMHHjI2E2bVpTtVDEY609C3ukB3zSTXJjoicvhJ9
yWOqIiL3CzHPEmfHJ6qyQ2LA3dEXyfxjjjFJnLvRiRlY7YGFCpi+J+NoNpQqdlcPyEz+09UWOQKv
eDRxx9lEt0x+FU98Ypla6JOnIwJVfAtTZPjs/MAUTO8B5pSa8BOJCa7CxSntWnZK3TDHr/Toxvw+
Amp72XTEzt2s3ELchHYFHJOvttkyVYNt7WAkwAWpywTCWN/a03GKWSRojn4EQGT+FxZP3JjyrGk/
SktVZzLTFtFiP7r2m6JbjaCLozZFLNnQL6V072QRu486rb1j2mTlOROzvXy6Di+HGlV7xfuyf+aV
D0+wqGy+vvZp2x6X7tzYFWXmhMhe5znt32YdQ4FyMkdcsEyu1YAUkmxh7BW0hw8+yWusFzZMMccu
2cJIuB0VNXbFLXhSzbnkBiUNyvzFWCbn4VVA0gEDTF6jLVVBNMLq4bJPgisC29PLlHgmNhZ72I2U
s3Fi61Dt/++qm6vv+gd7pzalErT7L78rieGg76jr/Yf/s2dSRbM1P9v58Wdniv4vMvz6X/6v/sv/
9PP3d/mfsPEdRQ0L2iFY3n8uXr70PZ7oHPXy6+/y5d++9k9ftIPmKIKA77jyix2J7/jfNEzfpyIY
wxmwRZ+AHNomKOU++dd/cZ0/POD4IgTF7MDJ9/hB/lIwgz/4F9ioYXvT5Lh+1V+vw5+oel5CXtH/
MUle+Stm9e/UXOzQ/PESEROcfOjZ/BB/N0UnEUqjdJU4xplEwQQCOy5bW/L4CiNffnRzJB5w/7P7
YFFFUHaBX0TiSYmD63X9YZTwElFWCCcPKJFRZnB5NS8GjbMayMz6dJjuEpDYZ/p62DOnpj/TdO4S
a+hj2uxDbu3s0QK5nEHc4KvA528/RtRhHCrwDneChTmQK7ZHWWX4KbBKJZtMGTDs+Xiyqqb9GbcD
Q7Kfw6vG8BXuitAJbu3epNcxdcb7WWQp0p3Rh1JQjUE/UrrvsApfZa4TbkNq+gj/ZdYxydzwKysZ
mjdSw311usg7shyzn0gVp3fYUvSR34xPLdoEMILlKxYl0Ek7O4Q1IBYfDKVbxHW6SUT7ARmUH5Ru
YqaoQHsULkJiGreJNxDGh6j5MLLd2Snd1PfoPc2nzXqeBI997S0KM6h9A39jvRgXpwXPyjD4V4uc
HxKLyKH0zOqUvbH4ze2Az4Miof0JTHhLIVUGmaTmyYV3yyqbmyaYRsKbVAU89xIsIO7Yga2346UP
2BOvWlZ5nKYl1cKVRJYN4FRAYp/pFOiZ6gfYraL+sFxrvpnb/8reme3GrbRZ9lX6BVhgkIwgedmZ
yZylTI2WfUPIls15noJ8+l40fjT+OoXuQt/33TGObVlKMuIb9l67DX/4qZandPHq+9KJAQqNZahX
dpfNGf5Oh5DNwHzK/gQ/Vm+jAvP6zNyQNpydVKHd49g1uETph99GWyqB/01CcNHLiFLIEAx+PeNU
WY3xq8PuvgVxSMYdTxqB0Dgvv025wvJDMhwashhXluInQjhqkXwlCiu0yVN59OOKsrlicX8wEcf/
GEn8vrkVlifsY+nPtq6+90yOsHrTIMG6yp6LzBnvjFXUewURiRSp2LyWSeNe05wmrxGo1dpOX8NK
R9fR1OW+bWzj6KMWPIQRw0fXWC8dcpEr4N0ZTzQ4MyaK4fCIHBTElXZIJsxhfKByLMR1XtqKLZNI
3ffetdC7gVCJTxVB2C86oYmEYyrulkBeHsD+Gj9t6U1MC1aA0EJFPmZL/2MqQhil3KRHdhP2K7lr
DBC8qZowdKftjxwNd8tma2GCNWoD/7PPRBrhygS9aefQRKP/yAzQ4xAriGL1ahQYmQaiafBlSqmm
+6hU8U4J205ggPgomkwjxeoiIoaw2tvVZYkQfNqUNGc3RVtiJHSvHBeCwjixksc0lqzAFye/swbv
ryNb17sWIF02livnFzo6cXayHv290wiENb4V3RgSsnizBEzkscUFhTF/jVQTrnEp8OUO22mVxfFF
y/RmLXb5QOJddu8oHYMeMUGAQTDfYSLRR5f6rzn0xlQ/eTixbmSe11cWzvF2rHugGtQZ9t5DvIZp
WuXJ1UpDa+9Ws7oi09MXkyP6QHZKf2XnwNqxyIsfss4n8MlIam1Eem916FSo92s7fBW0eD8Ju6yY
UDc+nPCmfZFlrXeJM5akZyG3JBWOd2tebWthlE9P3iD00yzlBASI+wDfuuvuOFIDLHdHozHRf9Ad
XUGSmEc/k9j5WFXehfKLe8Iy/b0xiAmiSqp+T3YNXWDRlXUMF894cefBuo2weN4F+nlyxonWueC7
JHmrh9UpQc/ssEbZf8osRFwu2DNIsHo7o9btexIjs0IYNKATAfQb2OCo9qnji4NFCOeemSy8tyVC
J+C0LGCMzopeHLcguiH22Gvb3jSfVmLsNSpQ/8yFkgcQnowC03bZRRQ8JxBJ/kdptO6+6azhuWHs
f+eX4anuJ/eD6PPiUBAzuO+tsnm0VDc8jiovfxJ7N+5JAix+WPBVf/heUdwHNSYHSxs4eJbM4mlX
YJYYmakt8wHr1GbsgEVTFM5W5lmMIDfHlYeWei2D2pOziOJOVY+XNkt+0Zd4W1V25zpm0eByqxVh
9aO2F8qteXCfCTjDSKfnkxe70SuBweNvFE/TTjE9P9C7lNB2BqsRgZqXVVTHjj3etM407ZGHq4j6
066vtWv0pCabKdQ34BCEFfJGmlZ5lGnCBgF5jWN/tHN7ZndoPAi02/DvYPElDDGMtj1yVAdiJgmp
SIvm6NdFG/StQCmj87IOWuiqkARNaefnjIArqBQeFME4Jblpa8UwPDL2U6cYay/fC/L6oNV4iWKS
ik1Wm8dxqNxmS9CcrtHsy+ml7RaSNZGxBlYzyX3pF+MzQFRZBENU+UeNPYFOFNMttG5/M6XP7oJ8
IC+G7m523Gf1YGdIPa36Z+OBrtM1P56SZ/6V6EibJ7Z2HuIO8dpchfVOdOV8EZN16O1lOapRL4dy
svIPCDhfGZdWXoSfsXa741TkRMuVxhEB16YH1oNoJzzhOKsISjXsZ0QutIxpZb4489gBEAaOdIvd
csZo7snB3sjYRMJdarEvhsSiRzGNPzps1VlYVfvO+9FcXa9GV7L0GdfMUH0VPWopz6rdMyPz5bON
kSebcXkPM9Fu8nxm8ToW4QsfQMHP1GKz0mSt9+lZcx84XRM/ikinCJ5nFHKdFocaL/o9R3p37ZIE
vsNojsEYR7WJfYY97n6yUvTuqtcmh5Pp/ykMHMihYfj7KcucZtPaLVTjyJuSgK2Vcg6qTOBhOKXx
DKAlSlAVOeMRN9EApaIrFUtpFhPP1BdJ+ZBHhhEjqsyZz3EMbOOTidHfY7rZpNPN17o9gyLJnxhq
Jr8LTpwZzbfCLKMbRjhwqN/sokiDlHKXuagQr5075nuICkvPr12omSGOFHgjLvidxAzsVW3TMC88
mgWDU7S89XM3TTdQcpuyRlqr2+5EM17tBg343TMRn/SUFtuOncy27Sb9NbGv/jPV1leHJumHm4+f
ql6RYpK9142ZjzoOywCcAFnQtmQ5dnVtpHlNbY6XxYElUYXgt9w1C3bKuZ46c7DPduO9WstUXDrI
R4HF0HRH6icpxB2Yt7wGyC9zWe7jDrlKWpYg9oggP4TVZLz0WdEfJinQOFqlelDpHH4xRrD3vKPR
oYwXm49hKF7hx6qHxPaiu0mrduiWsd8baSEYTkHHj7AFXu2Sq3ObWisCyulZNjCji84zOc3IcPvo
1Gq3+cmqWweeUYd3RrKAjafKBbqwGte6VD4OFbZnIw/tAIogkv7cHpLt5KFgjVHtwTJGAhSQcWAg
yE4mF3SyGe9TuCkR1dVknJDTsmv02jEQrQbAqpV4CckgDdralA+DYeHrn50MFsgk3lHzVZvaYoua
qXE6JXlY3d0pJ8l1wErBKNU0kg8J7+7YTIiETdtmugQN6+ag4cOasjjvXHRk0qrWoztIlBU4gMLO
IEk8tlf9wNEC7JEMZ+9B4dR4G7OyOCgmKUFDkMRxyRx5Yi7l7BlFmKdyrAUDyNDnqpnLkv1StjKU
S33tzP6J5Rj+39q8Zu6SBl7efjPCatcAPngcZ0AJIwkOzOjlG7otYCveqpeoaFpqMAQMwk19xpSE
gCssC+ClDmYbAFf9Vg2FAQ2jGxS+6T6fnhldqlfTWSRe/T7kOyBuFlVr+N+k0ljOP2M6/tmn/cO8
aoDrIHooiY+aIeDGsCUxgqPvnhmU43Jn2LxLy8l4w2GnXz0h/I/ZG+ubFUMC9Gar+R4mE3akkQIf
s6SFpWqY61dNhMnelAYUcDdLYM/5xr0cW2C6DYsU1hR8AubWdygljBAtNT54w6CoKaHeWX15qEfX
Qa6XXTwvMX4hdYl2tqGrG37X7oiO/n1ouhWlUEsEw75AGDK4l17Ifsucq9q5/Nu3ZYZm28mzbJ9L
EnF2xGBA9Ytd9weVenSQ1phuQM1+ViOSsH54cahQNjPawR0MvRk6XTw/gdm84mRargnJDlTgHmlv
DLP9iK40jtUeOB9DejNq5Rd2QQBthsO8ZjsXFIUrvLr6tkBvsXZ14kGAaWM1XiGKzGCjqXaRxlnq
CTXqeOtYFBl7zXHwADrZ+i0HM/mqQwwUtWO4wdTH1jOWndnfwA4E86lIuAAnpy5OPxhHaWUhIRAL
lkTLG5IFnIupf4+d/iDzoNmXg0z2Tluwz9INOMyI3knVklRndjEPaPI8DJQE2bIulgtj+GrsAnLG
k9uC3RDERWmdQ/rXe2KSAL+x9Zg886L7J+3r6cQybzwtJhW2QEXzp457SsFimvQrU2UJS5d6ASFc
Uw7u1hNGdbXWOnv8W3Lnf8tvgBDGhVuYojytpy7gB2ntIayuk8spjm/2Wsnbf4t6oEjiLP5W+oQH
a84H6v/J8Pqrv/YE2dodsIQm3yIf8WC1keHdunQS+5p4+ddibTDav72GojLjMFpbEPtvN4J+pHgv
1hal+NuthGvjMrUxl7WaYGbFs98E9tAYkMnW4I+/LY/3t/0RblvWx75xNQwyJc4aT24wO3XKB57x
4PoZutxICvezLpGX+h5CIKsc+7uD/PoAubYjm2DttzDCvdSto3a5UT8bVpIca4MfmG3U1XMxCPKM
0f5vV7qTwQAyWc6uBi8yxuuWl4W42gzpUG9jjzJs4/E5bGMc5t8IaJJMAW377jOjf2/4DGBlri1j
tjaP2d8+MgN5+hBnPZMCmkwHIOUW2gKdp/rbhfprQ1oTyHJo1iZ1WNvVAVnQtaGDrddWNlmb2mJt
b/lHro0uLW+7Nr/52gartSH21tZYGpH3vXTgf3Vp9pMdCNPstZVGj1z+gGVGFvvfTntZm26cnG2A
QTn5wiFNTw6RA8fE2qiPa8ver807znQqtr8dfbs29+Xa5i9rw59ySBchrJWejXuB9WKdDGTrkGBY
xwVyHRxYgKf/mwQi579I9xzL9AmLVYzfcJ94a2zWv9EAcG3YNAmNcZh7zzmXWXLqLYK35UwUEvlS
+Ap8W95NpyfeVPisJGUyyMNoueJ75xFwsW0rN/qax2E6F7kzXwxPdHePad4HhQEbS6++EtvTBYPp
L4QR2dNzW2Cl2yCUz/hMVw3f7M7Z0expOoH54+Paqchwz50XldiiZv5V2EJHKitEYp/tMrCSLnoV
o+hZD7Ls75mW/j3fAEhx1jl/z714PQL99TD8t+Hmv0aH/55yKdbMqf86KaSYRqCJs0w6//kH5iOi
nh09e4di474sH/ZH82l8NM/TY/eE2rG8MaL+v3/F/5JlyJ0niENwBVFYHJXuP77ixIClUPCCDqPy
QsJf2FeBgEvnx0wnxG5QSdeXdm56snuiLP4p0AoHkH6zP4uQGLcYt4f7Ev0Un6VLRR0smGp6EHu1
ax4WGRrfur5Wr6hPuergDUHHyhzXy9gaze1RN1VztYs2O6ty0ScqGc4nxikb5XrPg15Ic6T8ZNhQ
pPvcEc1+7qbmsiZc/FBTGp7QduSnsZHeAUSn8VYkU3sd+jJ7ArMCd2jd711GCuKXGFjRJ8zpNNuh
i5t2qU7adyey1/OrsPJv/39aLxUv7/95UP8/y6+4/fwf9/bz63cX/6dZ/d8/+a8xvfMfMBJ9UgNw
CUAKWZMz/zWmV/wfWmdFFpsHNmQd4P9rUC/8/+AE4dj/3xP8f43pBcgTgCYIjX1JOKzp/79M6cUq
I/73V2/9EnRbAk2zIqHtnwmIhNgaoxjSHiUi4c0v8eB5r4vL9HsnK1/dHHB13Y4yhiLC1NXeMfs0
yPtI/jdnJq/5Pw8B/hkEryB2lrajCEj8h+DZlKNKjNm3ELd03Ttr4GGHlSs8jVFhvQ5gc69asYtE
m8IMRSMAJT6OTBuGQFrSHVbJ3gCyfKiymKEa7llWjLix4QAmlJ9RyIHbz+FpsTprN/v+8BiTuQSJ
AFNw4GA1f4q7ltQCyCkMY4qWbaxB66mjnBlkm8EVle4clEjxtrE5TB+COtvCOoPLKIUpesE0JPFt
o7bepvx+tA0DOFdWZfqzMpjfD6nzWCRcnZ5KSfZYQC5+mtLMH5ir4EVmL49kT5vNRSvEYtAhf9Lk
LF+CwLFX0gd89gU247ps6u4JZqMUCkKWVEg/qp+963UnplbtLXZ6cTYrYSF5YNxOTlB/j5SNValE
KWCm9jkHpa+x06FLUdEbpBlO/hRvDow8oT7EEMKVU6b1Fk/guYc6s09paYdQtm0LIn9k7Pkt5gET
tdpVU9weO9I1r5FhTycWLQIcdr4v52jeNU4zXObeoBAjHieop6YOWJRYeHiYEu5nl8xNFHyonGC1
vcrGrHd+ssbiRuQw5OUkP3BchQF20DawWxP3SmcvfGsNonGEI4UypoeoIPJpmLTxbZqacZ8iIDha
DvE2bWXh6qwouuylHb+aIiUeo8jKJ5xSaGxDZQwPE2OucxLZzk6wcOo01Mu4OTIAungNZX2kMU6P
pnsjj4QNvJmBjl9M5oIF62UD/CREqNI/ZDbzn65T2C/jOT+q2NiVIVL2jiz0TnVILRI2vXHYMMbr
yt1UtMnRJi9jV/dt81hnWf9BpEYPSgoY8RJFPShww/jpMh8MvLGcHwtJYpY/8TwlPFZ7Z+iyoEYW
u/6X+opaQuMmTFg0GYa1wrTG+SFyJtYCcSWeUBSL+1CM+mbWmKibetQ71F/QKf3ylqzQ/LgYlkMd
9f1Tnkt1yHNneXL6MA2ahX1DYatqO6olucMghOkKEDjAxUTcJ8xuOhjEPDJuyKKhqt2ObOGO1VTX
7znzHz5NF7oAA9KAAd8fe4qjQEx+8Roiodi4c+uie+VvH+JGHUftL1fNdOlUyd47lGVk4SCdyQ2t
CrgcheH7QRuZ3lZrRnpthNW47Q0vyCKsdweXOXOHUbiVWI/l6HJEKN41dN7r8BlvaVnMxTFF+Hme
Y3REg63VLemY6Y16wpzQPep6QZYyVpIwRmc+pDShO2dU4iHy4pvPIRMQbHszhwKw40TGillCiBd2
8mtGfP2nQHOwXYE6WAuX8DqLybwtrt18RJz6RxtPKmrpsX4oJwfCXzlKqGOuuoF6MrcN2pbnqHTs
T6v2krNKe3nsp2H41Tp588zJ7MGSq9ofFpo0tjwp+YiRKuJtTe5WuQ6qVHbyHLnVPPyoCt1hmA9y
IcBiF0dpAf4DO8U+jDO4qoSw1OR6mVO5G1q0LGhao13MGHNPxBPzOjgUaEDDKN7iPHB7BnemTZDG
MNo9FsBJAWYL323ClW+U49WCFhSuDAFEOZ8zNWwvvxfCG54Mq2KAAemhfe8I4NhmaOWgEbSIs6QC
TmTH854zbT50pNKep7mIv9eCfe4WiAjvNXKafsPsINsv9VRCMhUIg69xncmz6zihE9i1/3uGMhcR
Hlw2wUTdc/byTn44ic+sLq0KZzP29qpYcNWhhIG30HD59Z+kyuY6CHHo/nE7r0PruPQfhfCJA1HV
DTkKfrmpO5aGKTa+UBCDy6RAX7p6oFkV+ozYzcX5nrsZ1lxK5erDKdr85KcI69jZuadwAipI308k
lBVO+Y4RF+nNfRPm2AImkkLZrTn6xFxv9K91EYrsNxT4bngWaeG8ADS09b6vjfqz41X4DEOrfK/y
2HhoIkXUSlhxQTNL46uRNTm91anTGlxSofMejeNHBpr/MnsEGVxwQbZbxa4dpifgk62Z2JPNeInn
H52V/VxqryCWtiy7rcY7+0fMlnzmKuy80+SmefqEdrk69a5IXoa2oSQQg1Y7WzSWfATH3PyJio7h
Q5y46ltJONavmVTjU18jpyeNW13AtHi//YLSGyEkglu6F+LVUkeTF0OeyIsVS/VQruHyWZa7BxR7
zsbpDPTI7JKb74WjmmeH0/qFmIuG3bwx7iP2gwDIsxh3pO94+sGm3j6uvDO8jNQuqIddmjya2w4S
NR0/6XbpecyeDX9kG8/ce+PAwGGxz05gm/pmY36r/Db5Psl0gKpcJ6jmizzq7SCpBvlDEQdU3jC7
pnRLSYmElzxOM8jFmlGDs0I8CZL3OG4NeL2TnD7ythZvtjHZLxU6+LMvOrm3bMZVIUnmb6XyWcSK
LqObHvkrqLWmdGeXLdBznUyHBtLURbiOt6VKM57kbFUHQZjctpyW6jcEG2vvwRGYsXWG41urBdmF
WcoAidYCreycFVYfLMuM7naJx0KyUiL7NEWrv5ui6BR2lf4JLWJC6wUYISL16MG1o2ILzxA4cOGg
FOYHjC6R+7OAuGiQ/HeKC73cEJOSHYBhmMgJszCoxbwDtg5mYGWRFV23zcKq1xeCMg2ECMglraOL
sm86d1Uanylnqt3M3jV+pWxQr043xIxIau53LGuuuGcNos9pVjwKC5jObcoK4pk/tZfpnBzaYY1T
LmS5U7npXqZoJYxVc1Tsyq7tPupQkZ2QyhmMrNXvw6yNuI5sf182cHgr4ebM1ZfohpNA7nuHZ9SB
D3FVyOzYcqAcBCNaO79j86Tb8kOZwye6NzLcsrPlfrSI66APjUjWsUl0P6kvqz3jRbavJTl23zAv
Nfe8JTkOgX5Oe4We5hHvkGI9aQ4q3XWZf/AMjOQoqUhiCqVzTLHXH8j88/D+qLF5rFAtbdkdMQQY
SAfQoSnmOyEeFolP1SIf2MqO91jGBm4IO08vcEiy13HA/GLlpnmQY5efsCaldxp1uwsAJM+/R4aN
7hZQTfrN6/1wV5Izkez8tHNt0l5tVbPrtsFwVYUHFEyzbExDrAgtV+240s+9TicENTKFg5BcREep
J+e0VG29V2QnXEt3MB9TduAW9W32rqvYRmuGvxcUhXDDow9WGd4bA641yR5GuFjkkW8Zrg6g/iO5
f+LngNIOAsdqsW3xhrxw2sSSB3cY6l2sk3DXMu2GWDGes8gnTNXb226WBxQ99SEKSyCiUmIhwLn/
uUxMd2jhe+Pspeknkyn/1thuTOrrYuW/h9KNbhmnIrd/T1wwiwi6B5xxmJgcs3xw4bmhQhjNd9jn
/p0LrrlU5uRcfN/o9yivhj1p3DwTugr/IBjPg0zY7k3LZM1CcVmIVJMrOEVr491QC2cIqA4SRH3G
fAfQ1R3B17J5Js3YWUn6lv3YAnfbJv6iP2UK5WzmFD/AgyCRGT0dZi8gp0Pe/W6dugCTBxLOlSCo
lYxCis5FQMebyJaiKEgm+2LzCQXpnLnBCJD/rUZCESguGvZMTRoUSegySs7jdzG0jw17vz1Ike6Q
VxZDoY7m5romFF1U1ror+ysfjhU9xs4neAESIJIgR8PFh6hGWG3+pqzitxF6t36EzZCJONs2OjP3
BChOJyNhFd9i869cFCBK9Mstb5ri1zi3w62i+tow1o6u8ZLFRziy09kVPzM0oH3fO6TcZlszgjll
G05ML0WSxWqO2gsupAj82ppOm0QRTM1hZjWAiyA+6USeY0QVuNkv2ZKoB7Ze4gJUEstpak+g12qJ
7R/7ICVj8eVNIHk23Ti9knBAEV1G1RYEQ01QA6sJ8hqzp2imog3byLl4/eA8OSyOzqNZjwGuTX/n
Gl5ygF6fXoaZkSva6lZQgiLE5TGUW5dwrQDEQk7Coz6GuVIHAhvOXtajFMcR6yH6gKxWICabSkkQ
D0O/M874dNtaqb60ljR3M+Bc+qyqGtDDFnjWiCYBNSTbdltkrbNbFn10wLo1JjXE4ozelqEpPlTF
7j1cCs4/4GhoM+rKIJp1NoKqixmqRw0GQFk7hy6cxTesGSB0mig/13oZdsIQ0UNuSCeQkw+fcEyt
H57t2d9wUtbPVMDpiWyQ8T0rwzVhrzaexTjI52xpMs5KHBvMidv42vZpjJalWeBf1NMvIQQtNC6t
FCVb9WXH5OIZTn/VTXohIp11lhn+NDV3H2bFhXgcnMUG2ofBuFgsNDY1sKijASWBwdjgP0xq8l88
3Ja7MmpSkvwoYEe3tIMOrutOuvWVnTlBzISCK2L5YtuhizQLhMg6o04o20+hSmhbhh1uHVr8U2db
R50txtkEVBSUYuofVyD3GeMVQvwYKwgsMctpHytrddY9DJlJRIy3xxbzPYunWzmZJN3F+sUDLYMU
7nku2iM7+/VaQrQQIrDYUhp+ayP/oyiItxuTz5bBxjZvYT6iMYifUz0UR79XHOyTXV6dbLJ4jokx
9D0WXjIuzvimlgvhi0bgSi8/FpiZnRksZJbGObySMjnhw40ONrpo0y6TjTezOLNyGrxlNJqMhwNr
jilprpa4yH7ZVlpdM+zdyzaZSsBBA2ckCoUjIQr2TuJ5OkQ+epsqc8PLmt0eGOSpwfGm09+gEXav
SUQegqfd3QJD9dTmWX5I3BP+oYsoWKDaRRPUkKne6trtr6bj2m8Qs1ayGbnmgbQY3x+gpRRqgxHB
G7ZeOkhwrMR3GpOf7zybFmVRzCWLxa8vUELHl9qFuiDNTTpLfv+oArJ+z33R/C61bB+KbDaQPnrk
A3LAn82a7CwycfaMmOpT6sFtahBT7qysnR8ASY07RLEmSyS+n4iUvX7rltr5YD/fnMbU8+7oxuUe
b6rYla4PSTMHcN9ocw/7GltFaHLmVR82KsRnLK+EYFnan58KCCQWZE7V7nvpWYcpKddMVZMfPVtP
WG+TH0zkTZHK1cornhc21LVCSDATEMcu6iEiSlAv4rdjw0TsFvfs+y/azHZwm+5zgo+rT35O0fAb
RbyyN2ZdUYhbDeFjUkXNsROw5Lg2je0kc0JRLIOdoFFMcHlZr23gCh+5uY6ZkMfV3zY5SLUBWpMJ
UxwJ7OKFwo3IbfubBdejUUr/0LnLURriwkJw2VBr7Ztx/D5YE557bdvZqeE6AIhjzo92GH8fbGth
V2G8A3aUtwKB6CfY0vrI/4d/Q9mCOZtYy4ZujBLFeNG+/VDZyMhTwsXcqlZXbMyQqaT1wQEOeMds
5LtNrs/OwM6wIxbyvXCVv0tZom9Bve2pobdtnW3nqv89mJ21GbmaN76LtyhDfLVBGfYnQ6OlsJYU
mSZDu3htVEJ5KQHgNiN+fC5wNFg1WyT7kJfzh1F7oBpXw34yhcgtcyfvX2iyOybvyUMaogXzRX+f
2pxSD/TWPe7sNxwA89bVRIaI3KReFEyMXAHp0e6SPU4UrIeJlTPKE86j1qrbeaDOicNOw50EB2V1
ZqDaqmq3UoyoFa+wKy8gRhNex/JlRRuQ9XcO/c7HoDA8qsXX7a4bWFQNlShesZzrD0LlzugwSZam
4YASpY8oodGM1QCXglzP1QlP/rA3MsWWXMTWMevEeG+WMfoRoS8ixsj+pOV/RdKyne5WDcSl+XKZ
c71OCe0fqV7hKWYyFJR6vKL6paHGWLk3tesdHStP6U2GW1QwbhmGqn7HnLccsxQQ/yYBVItJt043
ZT+2uwam7dVymZjRNoT70V3UyxJPyTY0F/1QLY5mlmmp5qRUinGESF+cHPpqIKFlyZpqPigzOtQW
oDrXctl/N7WdvI1SO488Z0hs5uuswu6awvck08Jk6nVaUsK4+LPdR9c5xsmiUwwq25xh6y7uL2JB
u+PoE+gTpi8EKMYHl4TVA/Td7N2AqLRrZHsf0NBs0oSEbqK0wx3efcgV3PPUyUAJ0thxqMLrZ2VC
yIRRE8yLC4HMhEl5WmqCyptp+i6rkTwRTvGTIiX4AfcT+ddsaxkRk2VOjEvEZ3actO1d3agGEsVc
CF8OiTLZLrQZQsUl615eii+XUdemw0Z/L1WqnzDaNGKHp4Z22HQnJqmo8Cwr+kZQT3btvKo8l7bS
ddAlKXQ0A/Iz5s5ZExdCQPSPNoXv0We2BB4ATqKKs2FXONzIyWK2qAjd2jI4F+ZckPjljqiT1Xwp
ZWq8hwjV2NHTegSdIcSrL6WYEcBlEBlzzGFX3VGSuSFg6XES5oVwgJKnsyzwNOpZuY8uSq9LiAP+
yB+xA9NK+iu9vPWe+Lk8iV41f8D5UDqGTnedMOccSsM2n8g+j26GquxDE7Myhx9IASQUyr8ogT60
G+tCXs2x37UUf4jv0QylTCmufiutF/Am0TmfLeuVgx90o7Ljwxg1KwUBMBMS1MJu9tosgLuShI0H
IYac6gtoEniTMUbLZmASVs1W/OkpzotNIqfszRLewwDGlmHmVGKugqYhtPM79E37p2mLKt5Znh1+
hXlSvFKGfE9hSq8Cvidr6F4tn8CzcR14Dct07Je53mfUzhetTR5X0OtbT5XjEShS+VnD0jh6NcBz
8N5mMFbg6SLGg/jcsuVuDqOGMZz3OTtfj7FZZvW8Wg4DOgUqZo26Qu5fP3rEWm7RpbqwS/u3cY6B
gVrtN+gSzbaF53LILKkelz5Knmeja3440Sr9NkN3OtgYJUFdOxivakljE4WvMZi6E5Acyp0B54Q3
XAgnSTnwdHqeLfdPQvm/0qf73cre5STQpE2Pg+e/Qn/mMgGsCPigF+VVrQZ4d7mrSPlPsUvsiBjz
el/11q8S8NKmlYn9oAtq45bQLzLFZuNzVBGYwAq9bi+8I8aykWBpz9nO5KVweJAAyIooT096tMSR
W5fW2AKyYZZvaS7koyV4/Aivis7ktqKdwZcSULw/9YmCocViau82/VVQqHdeP4K0ZSoZjMQJnbKu
NBB5aZ8hhvMa14ovlxWsV1pgbLGhxt1gpYzwW775vMZebd9ABZhX4UJ6xVaXnoVH7orIMp/JEBbU
vtTPwmp5OVuEbO4ESdQK/ZdZ984lLssXk5cIzNm0b0fXD3Sfv1Z5+jj35BzGCq+oxoECyi0Tq4V5
WMwj4fX93qLC4SxkNOoEvT9yJkPDqS4+8WNkmZstOhJ428yrFQey8Nv6bYZb+VVJl6llFftbCouF
j1d2p4rHELNFjel+XrKa4MsyfUBWEN7bZVnOc6+8B6TY+RaJy5uM1JPqyLWEYP9JlOYlx9mwmqoP
jsQO2M72k09ddEEOvm0bsriL9n0e0g85VgxaO8AfTYW8M3sKuzHeoT3yX1ppE3ZsVPmzbVbtpUEp
B+tLxe/SStWRbA5KGt0BHWjhMC7oHJq4dgKEtsah6H3CTp80u6aHaIrTc8q79lnokCTPHMoMTICW
2csgeQMiqOpigCkNsIfINo9U4Wh0vJ0W7UkQaQwtVcIM82ZWgkNCtbBJ3ZnrpMjJ0DOlYzJyVETy
NYXPx+gV1jsZgM5aANXy5KGj/imYNfD+YHq58pemZ/KU3sh5PDAgtPYV59uDP+cpJlB8Fb8gsRUB
9+H0lEzLeEK7CD/Yb3tzFUEar/T99nXhUX4H1wYzhRl7DJYl7kC25B3RTYPzv7g7sx25jTVbv8u5
bhoMMjhdnAZOzkNlzaWq0g1RqpLI4DwHyac/H2W3LcuGN/ZFX3TDGxuQbTmVWckY1r/Wt7LPLk0T
77HXca9DNAgGhkJp6sxnsDQqRb2V/Sena2kCN8bFak0YgB5AgKLXdAgloAI6xTEzq+zgETxfe4S8
O7NckdwhzO05T30ssOpkHjpVQedSgZIp8UozestuIsc3ChJLI10yxDmIN3i+khW+Vk89Qehpjoyj
OMYRAVI7btTy4PW4mUjHVtShehadX0Gqh5fEK95j6CTrbureuZYb9NGpMtmYtfWeceBj4DYjWK2I
pvjHtjf982Dh6WD+x1+bviraywTPmSOl6bwUkGbNFf/YbC+G7bZfSHcqb91aYbmr+sH5SDiQ7+aB
YLUfRjhsM6RVOOBktgZmwo2ru12lMueuJ6DO0w6bG/eox08PJKZ9MIywYf4Uw0H3GfugdBWYOW38
/JHTEzgb4U8Tdj7Abrp3R8kYMgtFsU4kDrkEduilMwgeo6zFu7rM1zMYP5PAAfWuNG+78GmmOSGI
6rljvPFESFUmmX5w9ZlZn1oDRpbVUe1jocoevDGzbzJtpBTchkQnVpRg0RiMO2yAd2jaEUGCZlQ7
Jor7mv7IdTT7b0VsRjswEsktX/x6OxtBf6Twwboxh/gtaBfLmuJMu+r18Cqrrl+3Mqpp1pxv+3ig
3arKYduCkFqFsTWtXTKum3p6qdQmbSkMtC0KGpUHZaqvxVNU1Rsya80+UCD5iwHO1hiVzRb3mt6M
o/BWYQa1n+j5eqT94cAtMN61NCze95iveajcz2PYgchICmJGZjA0l4QkznZEArvHt5tm0Hoc+ciw
ad7FcRLe6UKrXTca42vYia/ZjOiQBqG8KZom/1Qo9g7AyeYKFpu663Vg7wfHpWW9CeoYNCwbw7xO
5jA4K2RJbh1pkjzGvdndexYDny0I04gqNMukWi+AO8q1FFpRZLMnOzimwtkeH8YpFQfl9NClxoAL
WrlM1dRxkiWjU3vwtstO7XHx2HoBUYwKQwBQl9r8BEgHm3C/AAy6gQbb2RCbRNFUUDrVIzczTimd
bPY+vN5LopNhl090mwP0/8z8LTxzEKFjlNPkOq+50Ewqd89OxVIL2hBcLLO/S0am6tmDv5hHpt6R
oJwObdd50HGr5lzNQu3SvjXvY20Ne4YMyJxdpYG9cmohC1Xo8CEeRvcauZK3kjAU9OqCplq+j7d8
qpLzgZyqC7k1Z810DaZBOXsWNgqy1lf4n7xvE5D/bM/0hTsgU7fxBL5D0bY88+1BS32MZtnf2H11
ayxNiah5l3rs3KPMvCSAc+2UtNlGiHE1DSn8C81A7W4lAMrN5bdau/SGa5eRilfa/UeGdYDyzyw8
QDDn9cq2svaCg8JZLhjXfOreUqJ9YhsMgO9XkVOoT/x8P2N0TvYjIgJbF3N12DqCa9sYwoZrX0wJ
zzQGFK5WWgAWXklkOsQd5nfmRkqKv0jB9y5MOADoq0YMZ4BW5InwxL52kz3dEnFEI6ghaVNGuSQx
yrNXOLSRV67DZsPMnPM/bSDqvqv9Grk4aW26L1mhu9KkWYBOW833N3emJ0HH8sds5OqxDRrvgwlc
cOX04qT6xCYI0GC2Xvl0u4J4oYpj3cDWfCF9M92Uoga8VkCtmRJhbMwUurwOkg6majikhOqVixTM
meEdDZSbh1XbNxG0CJoWRvhyfpHfMPgfj2VcBLgSqSo6E9fi0U46BkyEBQlaG6+00zSfg5jzBqj9
wTyjPrPbDImTvIeIlVwTwObvbS0SGhsc+szLvn5GGHpV8fxFj0HGNu42T7YVZ0dVO3iv2U7Vi+D+
+dxNJmOd3jSng244p3PXoMoe9BnuAO4smyhQlAGnY3FHcGimPt13bwA9QLongwf8N12aeG2/I6Ab
lXJXVJSZRxoUB9VIujPWU2avv19wUmSJ3ew1d0y8xKpRJQTQJIIX6hsWQGkKFPdGPVp3pTSHK2Kc
9qljPbrH5GGsZ5T+DYf28TZzIon/tIte4q6wn+qUsiYsnLQb2JmJmQM23r4FpEMOI23ENYW86E4m
EX4GXl271k26gdSEmciL2AlUMSG0D4rYq9DRBm8puMA+o++msDD5FLNrVZuSnqmNW7tUM3vtt0RA
6ejKkLrDNsHO0KRk8yxbPHpo+2tlimDvsppume/mV0Zm3TpDMe9atwSTQbf29dTU1ESTovlCl0pN
zbCvl36CUMNTcebgGn50fs+QNniwDDneMsB2v1h+XJyNyWWuVpjDKWm8idq7KAOlU8Y+4SqmjJPd
vbTo0CmBtma+wAvEwQ+AZ89Wit9FTf1Nb+X3xOHTq5Ez1yEhJr6R2v+EiT3GB08pITGDMXmq8evc
aig1cIh7mXyCkMuMAJIR5iY1VGuSeBfibwVRgRA7Pt1UxzZOFxxKfHJyhRwZ+v4pIUZQAXveAG/3
D2CNiyNaxrCe6RXniRj1SVQYZ+akQd9ssG2uQU/AHi4aXB90hj0brn3vN+FTMFb6Nm6iYkMoJUUQ
Ig+ERz7e5GNyFzMnVLihDtKHIYSJeDpPSYXymo3FdVqCri6a9GhznL2jbgLdgEvUFT21Ew5TTF6X
ygvKA7rfu99Wj9KczlHEwMg3HBAkOUMbE7rLIQlH84UsordrszzYO1LmT6InobHqmEkfi6Q4idLt
z2gCeEKkQ9hUWDUebj4ovw27FddkAlsNg2pq98jSsKRD+qldne0iCrmWPhVsHUsJbW7WZM6AdpLD
7kGyLJlsAGPSzO5YpgdKOSTBQ3aOcsdM0jz31vC1agRaTxs5B0IlSHs0slTXrFvOGv/XdMJPIJlO
R+Pj0EUjMWhQM0v/6z0Wy2w7gxe5iQJR3NccLu51N1l49fPqdcoGiomIKg5nmj3adUyM/xtct/DT
0KbjKp65lKJIh3XKk08bE+Ol4LlQ2URqo0Q1iEtjk1IfSx2WEx8TDXo5jz3rTihXXdtFi1A+x0sB
tra7W7SB+D3TzJNXCsA0IJ10xO4g3PPktvJFpHpkPZtbVMPRoQ9hCuCZpmOGb0sxT3Bk8F6HgTxx
UIneEQkXGPwiRdl1cgd4xwaU2fTOye9eFino2QxxZcHONLtXQiEWGExbveJPm2/QNghvBRRZz02Q
fIXtIu6n0WVyEJbZY5iE8ZaxANf7wlhKOCrvAR6uSXqndgiRuPE91UdztK5kn526OEm/gTgdHgq2
VwYzU3hDB6rj4J2gozTvErk1kjA89bltE8Flr+HyXJi3pBP1KzKLe2FkBVqGkBBwfS3bGyYG8iHv
uYATR0gf0tL4AlHL37kN+2efhac4GlvGOU5zE9WjAIY0ICumPDN0HNNvQMW7gTGoybHYzLSQpwl4
O9cY7mfIgujzum82WeFVu7lByKiSQJOGtsQ3K/HDMw6dqlhVBnUIkGD6+NblcLBjGBeeIKBn5D4I
+K5GrvpcnVELmEZZ95rOsvskoCciwgjwWITqgd2VM4/DXZrt1z4AlvGYpcXpmcKD8ckF43UAtcPg
yciIIVgcayny7tPnIKkmxGgaSV8GcIHJKsgSjeyAvj3jq2GJUka680xbEiTEw13QcUQuguld2+X2
OuDKuQ4SapOY7kwPqGHdwXGA+el50d4rs2+/Ya6Z1n4ZOQ9zLegepxxhzc8N4oGlglOVahdNg0kM
j2pN4DXXyCeth64wucQSsOUpvpZMsGnzHVR3B7OmwxlHXBq2mL/DTcaZM1IUfTK6eWiHseLG3DoH
U9agjFpfaIdL5eR/I0zjsFPMxVMKo4WzIN0dKnPLYzno8LpJ+uaGYvf0FAv+/NGMUXBFh6rPRy6+
suAYlyGc2m7rZnCC6RTMWIP+A69YkkDWmnbxoB3qefzyq1OX4XZ0wuw16yb4lArL8JObMf9wcF/d
DkWYfE6Ddrh2bIYu6LSYYYkvUhssk+Luv8UJ/z+oxhOJPPhH3vbNh2rjtx8d8L/9lt8s8B7YGdOU
EpC1bwe+JHDxqwXeB0hj8pez5DF8uDMY7n+zwFsWEBsHpLbrmVL8irf5LxO894sPIdvl94hA2gC8
/x0XvOf+zKpxIZAJ33ZNjhWQ18QS6fkhsoNvream0s27KitrY13CByzwiwAdib2GnJjXompVItxS
iIJ0Ck4wvELxyXYhAeYz90E67pGQofoxC4MAWEX9yrLocUf2016zR+BpLqNQscdaTV4Ey62P94rk
xglIU/0yK+RGxCEOtXYWM+9NmgPO3W474Jk61HWEYRdaV7cC8TQEGyz0cI9zWtsg4U6y18vAGqi+
5WfyrDDRcBmvZLsNgX5eNNGuGgszlCS8g6PxNWx7FEpfi+ALfGR/bZrav5QYhU5lH5jU5eDGAtlm
wyA1F5uQAKGJelR5UHIa1QwUztuEvQb2pU9Jl71qnNEX1ajHEFFw7TAVOlJg0rwxMIrP0qrj+7Dp
3AcqqbOLqRJrPw5GuzU9+GQ0F8WsTQZVhIN57IyGY0RZzNuAj24rqInA4siI0GQQct/QusC1HcGR
xowzJTfwBtr0gwqJpUCEljTwpxxhBPx/phbT5xFP2RVINbTX2TSw1iiXqsoVbDb7lCKKz+vWtGFD
tn1FzUWZOf7ZQP9mFIYVBX0mE8AEq1Ezj2O7959ENJu3LuG7+4BKJvRviJ3tygTXe5Pa40Sra261
b6UX6/qoh7I/I1MziDBLQCGlT6HwigAq46K8SbzqrCvBdQJPaixXhscmyxgpCm7bIUKtcTuWQJz0
sji15OTWIbushRrvo5qSAVdqt6yjGzLmyXUUtNa1GozkszH01i5sdbGnDqv8TuTJ7uso8J+qrnW2
TuePV6T7hpsOcxw/yuA7FnH0HRgGuhke/EUsWJFSsJ57R4OtqQTtUpVuxB1hFNh+lqTuFZt9eejR
ig95IDWGsn6YnjvTir7UjkruWmbXW9vAebJN1ASBUvOW2DUoBiMBlwEDZZCo7mOv9w+dlyJZp9G4
y508z9ZhOpSHuvLKS2Zl3S4aHqxG9WtHDzvPiD+VGmwGNt7huu/4jEXrJa8k2ftbpwTB6GDgX/l0
c3WjuKaflAEZWao7PIYII7XBR2Y0CJQiry/Mmux8nzlOx1M9jTH7fQOLE+99lzCqtxq6KALYImsM
5M5GGqb+ivf6FeB3c5XUdnHR8H+RZTV9Psns1Ye+zeVVOY3lqcAfAYHZEuFN0rbMwIshLM44XGgZ
tLRAcWxM5d1xumw/Ee6IiZhgob60gWheRktSBC6aCkKEB54doYZSbtBLVtsfC3zAamsOtj99pgVY
2Q+tX+tN6xTlB6A96mfWonbd6gqQH2fKFQZSJZ6NKB7HY5x4juCGOiCXlTYsqHfbDcPgqihrHIrO
hKG+88oU2kaPeH1SqAf22iRM8ESlO5cI3HPPwhplfgJ8We+VSchwucj2dCv1LNOYcm0zxarSZ8/Q
AfS+DxqC3Sz2n/o60FcCbsi1oRnAZA2+oTWpZ+jPfjaaH56XePuWhqtLY5XpjukoM+IuCSHoTrON
KDFOXwq6Yl+zZqS2oMEgP/IUscJW6JVJVzGvZqCzhj9IO+c6k3X5EQ1deTdLN/yaGO10SAHQfzR6
pNvSMvkP03kmom1mM3qG3Wc77aOioc9nJI7jbN3hhB/vJwKiA+bidmSyX/OvHiOgXpuuaEK9VQnJ
/kNojYSu8x5yyKWggcs65r3d55hdlO6Z8UTzYwLmhFEQsRz6SKma4G7qy8bdLxM+HO9tkF5Gp2TW
6kX2rhIxmvFMzHdFaVm5J/8ALi2gRoE2nZuszbOrxsfjylV6RPOW4HlsNp4VXKfqhOUUXa4PXL2f
sLxdIkYjT46qo6uOGFe8AlhRfe4b3s66SXkkVi2xEbpG+9o+Q+7w513tAbBc51nlLYzkQnOJVfn0
znlu0WcInn+JawOrQYX4yNHZg0cBRNYkBINbzLa2Zj5BFJbKoYQnpf3lvmWgCdGYoUZ8Jq4ew2Ht
+4j5PQu8gpxlNmedx7qE+lXJo64sqS+ZLPWBmC5PQWvkZzps1UGH+PfR+MdxnZQsk0TCu3tv7PEz
Zo35VnczVjW4S+jkIW6oMZUIsMZSrdqhLqDLFgOuRDoQ3beGwEi2SavRfeYO1Qdr6VZJdEhpwqIO
sHZnlwZSE0+yWSbd2pz09DUSgfnkiE4/EGvnzl4OU/dAojQ41zzDq9Gw5D3zRPlstEF+ZsGWpxaM
NZe2JtpojfkoyCRkVsixK5/h/BzMJ6vjgV21IqM2OCspQO7thYaLsspRWeHEN9Y5P0ouCOgZ065t
tFHsZSaBK+HgBi8K8XW6syMzfsLwzPy359B1xoHmRntll/hTRuoQuT64XUUZGbVf2yavuxvD4161
MgYreK4yPED4yFFnscLW9uL6GUJoMPhXCY9xXlvlBFQdfMwtP2hFHWx+047wobc+vuNXOhjNmyYx
UAdzm+zZuhmmgjMECsfG9LL+tWboj0ozG5sSZLSNxOO0D+0sjTfftx0iz33rKaAWEQsNHBNJzZ7F
II66qvyGd12fwtgw24Nb0Qm3TuO+/doiptok+XTkr+CiSu9QTl2BFtHj+F1GJYqbvRmzYLuzMDCT
d7m+eKNJCKUsOpemVLy0H8K3HJxZxVCeKJu1GUrp+t03zexAf4D33ssFsu2PIT1UnUU8A/95Pm+r
EjbTijrf6NUJo+bKobr52VAZFRvm1CaXQZRP6NKORa8U7NCt53nOOW9agDb5gK0lzosP/MQhW1nY
vMw0fBybegmyDb3bX49pBR46pleImAeD8Zy+uYTgok/XYgEj/JYqoZlHntsQ5l4Cabgb6rp/5YrT
9MBRAiEQDiz9wlSfEU2aUlCwNXwZnQ3pR0/EN+KvPdBcHulBZ9DD+3KmiGsu+OqN4NY2c9dUDEFx
JlB+1UqXUZWN7yrEGsHUvkcnwfy9qm1qLRq3I/UDwH5t5BCK5inecyA9pGaKG5VbWbGjv6la++bs
dqt07Kjjhh+30ssY3mxp8GTqm7bPWgXELhdSBvv+MprkW3mKMEwcOqx3VyUtzI81w6t1RtEC4RM5
vgb1wh5sG7P+EiGCKu6+sf2ONYDG+GEbpuX8SmXgV1zcXJ+pVT+09CkKvF10q68kJsFV0NOkvmd6
OmHnQ0/eTxPDqq0BxfUFZutoPi/FzzkMKeL59uD6x1nRcUIAMcvqQwR4WuCd662ahbZIv6BnjRQQ
skBgrStpMKF20xiQtYPqQMLKXnfsAXiVsQmVgdKfwm6sVxS5WZoePE6ZBkoooX+cmDUO2ulgtDkY
u4buVBBGVqAf/TRbulBq/tBY4PMvnuCQYClgNZt8SA1s4kbOqdOC2Ua5dXPHCkQQrzdtRggpXu9b
Ey/tlTRp/d6Qxw1u06RoHkzCTRAG3RQukJ6K+rOrPJWu2iopxIYD2vTq+2P1Tn05T4fXFXVw5sHj
YKiKuHwLXOwr2NbsK7Qo6zYfRfvk235abe2qZ1hqRy4xWSuanPVAHeZeWkRR+PboeJcTnP2QEMvV
oZwVkVnbw5RvlsziV0mj/YAVd3E9JS3MN8u04kOW5ZiqjNaLXizPchHgdUGit8/4AXa4Gb7HJcVb
4Lf9Sbg6umgrRzCb/OUItkiEa7DvVsPhwA6BnVDStaLevb2aQpcuEMpncYrMdDUG+7iQ+VcWieQt
0dq7kPZBwZrGutjymZmkIH1F4UOH730zwhsPNyIsP7VuMpx5WOVaKW2AALRhk6BWr5Cu5Sp2er1l
VS02ZG8ssVEeE8eVcBObzsd5ip6SKAs+oqDi0YYLk34Zeye5aionYIKm/BExv23EF7hL1YZWu2iN
JER53cS9UUvAbKWFdTxE/a1nGjcDO85u7GQubkvPXUQp+FW0pWYsLFWZHHXT4jZkkXwLyNKskOGc
zyplpDJmdc6kER7OhXrwBPo/s/x5zCJsUyJ9scLcfFBEb/A5sYdcD1UV6r0lCKyuGYYxseDBgrjf
mQ6TBtU0Z4vHYjvmQKxxwx0YHUxrjCxUG4OCjnnfd0AZ/HUpK9yTvRd45ymikXJND0NGesuGQjRz
uNg01AosdXVt/EHNMYdFCl+2tePle4pe52jn5EUMGTnob13cD0sgwsCNNmQPrBf1VcTAmZy4FilH
l4WgrdlwJypFmJgaJ9IS3KigInsJq+0YyOihLuenH0AAfwO1WKhJfwrWL+1dnH1NmnKZG8uf4uyV
42gvy9t5X/sVBljm08NqLF0DrISdzrCxwwX++zt64G9e8WeOkxu4tLk7OGJNM/DcRUj5UcPwbX6U
Nq2ehA9Ecldp6u1k7IrNXAjvpGaydqLAPfDPLwq64C9vkxEGtmqfnzdYjT+/KOiKcg69BZUTR9kV
5xoS56EuN7ZJ6quam37HJdAFWaHrr/8tItv/vuo7sRC8fv9iLIjq39DT12/51//7f/5f277lfxLi
vv+GX3W4wP3FFDb0Z6RjF/zI8iX5TYcLfvEcECyeKzndWd//yX/pcN4vSHCO4EvFb15ksj+Y0fIX
YXH5912gS47NDvTv6HC/6mx/PDW+/P7VdYCIWYEnea2fmNFl7GkTvJJNQfAMdtwcjVhsexHaCdRd
Ms8o2nN2Sw0LZQxgdvxiTUIIbhWQGyJTcecNnEIc02s2c9mJXcE5hCoEas5KzJQ0BYNRkDAYArh0
lhDy6ySWrLDBQO0kHTYWvFM0YclgUEe3iLaJU7S3QOasuwCD13VEjgGfh1FcjVagjm0UEg+x5IMv
q5blkFSziWRCvazVXYjc7Vq/2iQSOprj2ieP5jCv6vvN3MDBJiULBGqZDcyNX+7A9VAJkfYE3x1y
TmUdXMLIENcIZRHNnPHnQih1niiT2CSkDMkiI0iWjv3BTMNZ66F9J5Dp71MwYyu0HhheYzgBQCq7
uzkI9ClVZvzBCWpYQ9VrT4Xo3rzR8A+mZzY7oFFyowNe01fu13DwxHVXjx9zT0bDHCcmdYlx7dZs
G8n8BUvM0YjsDW1JzyO3R4wqV5Kpcjf1p1yKvYoR67CAGO+SzpddONofWVbtW8mRNnWnA5s3yEBt
P0YBvs1FhgMjSOovj0pI4IIav9gZt53nvdC+cJU0wmft3OhWN2vVj/U2iGp/4/fGANYTzC5w1FOe
lxPZY7kH2sD8P+tu06Za6snGNueQST5FV/LLpA2iV41r3s1AyW+mnltI1sj+c95aROVLd4jeaX8g
QkSQ4TZFBNwTDqITrOmNfdbX/k2eR97ZHt3pWxN01J5KZdcYSMb5TNhPX8EKuzFFpb7JRpPUmSqa
QGgfWOVtyeRCZVQup/33evd7UQcnaLg5dCHBsGo2aGRibh4y9fBv09ILNtqd7wFh3aUAhYxIe7cz
mJ8jG5w6q7qj+ZECUusWaEG9odjinXqRcecb2WduY8Ol9Vwq3DP6sAarTe89r4dXQSjwPJpIJ7VL
pDKpNNZ+m7uRhJDapd6NMKRz30VtK648L0w4jZGrqjfFZCAG5TLN+12XM4aHCqnpvPWCzIUdMvBm
N1klee5gpzNkw3UMSlXOHBz2qUpc3rCRWPf0qQTcoOy8xfisbBh7VJ2Z5rqnLwLNDVtctIWePEUk
3WK13EDK0AM7GQJhpgkPN01v0Je2KqIGQzr6bN4dehFU3Tq2FmJZkkpVPRO4bRSG98Lv5k2a+4s5
wizh1A5+weQnxs0C44NM0Dms40zvfCKOgjLHpvFJAoB8PaZOZpTfqlTNAa+LaXsHnTgLuBwZicus
MCwkNTVUtWynIMKoFw2mQzmt7U7WqnRwG207fGDxLswNv/0oEehzMms+FA9RTrhoOU47nxFLp+dC
88QESF23TdT40yYJhapXkF/iEm1JZ4QLBwMrGFNe7ha0JQPdYbLJh+WlBrkqiUbJ7S5NTJ6QjvSL
pXDZc1zNH1qYIl91WJeSJBE7L7Ex6uBv3TKBKDX3svC3eUfm+zqmQXo6Y8+K99EwkiK3iFHTmeT6
M8ffCDPKnnYxTxzduuloxm2MXu0CKl2oGM79kFj9IJhOBh4s1rGP74OCJjMM1bxgX6Uboilow0WF
2EtZMVg8ztwwd8v55FJfRqmLii8FkJo3XZS9BFoy1pe+bEFbxDApj0BD5zcfg6QTtxKjV/sIYPQx
7sYXv0jGTVvU3FUcXWN6j7M7OxEseyoC3lIUHfxor9wNQ+u/RlbNmNfu5PxZmPOHdnsyxmZffAqB
lldBsTFaoNM5SbWzy3+3WbmdKYAjEj8f8quuGVJ7H3D5/qoJtC65XI2+k3GWvpkamruNeAz7faSr
ztqUHrrb1iqKTJ9ZtT8NnRxpho7r7iHJvcymfqAewl3m0Y6Jp89lurtcwiesveO9k5EMPqBgMlox
Iac8ZLRdfZC9Ec4KFl8bb/xGqscGNWP4zGy+a04zAT0sjoNqXXS1GAIj0DwcBl/obAv9FUNTpg4+
1nrQAdW8EyGzhGZsh9uuo8dKGgQNBnscL77d301pL49h7CZ3zPB6xDVGtsZsetjcsvG1xcF/Vxkm
9wnk5eCxnbPpbgphSt4OQVl+KWzHOfTprI/hkHsGSrKfv7korXcIYxihrS64Gbt8YNYsEv9LxOj5
OVNQDKDH0DaJ5a0P0zV0YP+bn831FbU/+lvIeLdfq6D0skcIEcyVPQO4hWW7cbxFQUyyb8p30UQT
IzZpQBzc+7IU7nOujWSvBmV5uwA5IrsSgCpYFaZ4axRB81hGdRXRBKqLrxZC+7cBOMKLri0S6LWM
g43r5CTicVnhi1EjjhCQw/YlytAkLyR35CPh3Dq/gsXup8TrSumSQzEGbmFm7L94ZWT766QNxn2C
kGtRe5rKj9Johjs3tfxHsywy+IjY7zBJhh6auHA+zz07iJpYVVdePkUv7mAQexnhaa+yKSMoBf5p
41seujP+VEZjjiDda3XHQVopxYISUxEXTvppsPo36Q7sLBz9mSJseEXB3D6NsTCusSRhQByjFsuX
G2UzOUoD4sXi0i40q2SdTavGhHGFlXfKtnGGftN2I2Ol2bZb565JhuwlbyO+dCXS3ZJpHkLmUGEA
byNYbmaYp/suJBJuGQ1mAJP9j0JMt7jDVGlMN46LP/jOQDTDVojIOuwMvKkLAdqbaDjFzbCoplkE
ddNINcKjj2FmHzWBE12pwnCn9VDo4U4QB4tOspod84ohzEyYJSCZg0uovA/KsQIClBhTfx/Wyqk+
hSAxRjgSxK7QXYAvmtsi5ZEPiLHAQwBLk3In3euuDh7DMXfvEk4uGJhC1n2XON+BWiT7EDj+uKks
ZR3Yz/IbLrSkKBkZ7OE54c6fcHtujKSdr2j38LtVgWH5rKAW1OuKWJHmCzE076Pv1rQqTiXHB9u8
bidNDKIJ7xEg03XTqnDbufgV26waXnzR1+c8USgFbc3ks9WAAszKjR6lE8FT4nRT8BMuybtRJVld
YRby070tqa894P4HxztXnQPim7Rad2sBjbjx4UCQ+I7tJ6lRo/aZMnQI8StlWQYA6aZkM2kgMvzQ
fqJ9V/FjniYv2gZT3z+MdqKro5gAK8fWHH2wzbFYho3GXQf02I4OmTLDreD+8VaJPEANN7Nb+oNv
a08AqmZUxLW3AgtazM4VTAl/A5j2XM8OHlKre2S+lQpUpvCsgR28sWEk4Kyt7KPqq2FfpzUkRG0b
KTEx4MkrrjL1RxQhCJWlEx6pitOHbAC+DksRMPtKqoapvNnaclfb3mLHIjrb7ImLROEFAjNp11Jj
19QjoJNUoo/U3VS+V+303tUG9rdOqBwcmmk59Y4EGDQNfGIMXH64nP3NrR3jww8X6L/eeH6iL9sE
j80SS8BRllndUT3aYgnIjOTx338ZyIMU/jBb8yAK/PmePsx5UYahoY/eSK0As8AoWddTLb1/8Xb+
rAcsb2f5+QosGSY3Qn7559cRgWF1JIf649wX/Vuy7PBuN3MjiCbQyevRSNXXbMC2hJ09p4Tln9+l
9WfV5deX95AjsJJ43G5/fpsoVZT/NnZ3lI2qdkSougfA+e4OvN3Ml7TN7vyatF8K5+s1nUocR5wm
BjN4nDldyO/HDBFtsuXgUbic++fxdvRQ6127xuFkmojATHw7DJqGVtlNC5o9XZXeHDIXixnVOcG/
YKP+9Q1xEzY9ruwmowkQjX/+PGeC4czq+2qRolviSSlleRjLlTa3jF0C9viIPtLjP3+Mf31R28Ra
IwSemMV889N3sgEDJgfMUrxoNF/Zns1ZusPGF52UN9W4gH5XJ/7mAViu9H++8vNigi4ItAWP1ekn
600U2FaxVLcf9ayMrdNYH2Nq7HJz7P7Fu/rrkwb7gWOI75CjlfbPlFmwR4I5jiqOikRodyNFFbJx
FsLpD//8jsTffH4OI2/X4phowQD46YcWpczLnNnJjh2U4HPcc6RgkB8vTcyB3W9Sy7aoe8TpF7Dl
6fYm1UwAIfySSlmOfP33018lyPsQUQvnw/j9fNh8Pyv+8x/1L5+JEBZfLfoeBB+Ls5BJf9QMI8bI
XVP66pjGsekdK7/vbsdy5LL0b7+OzWP/q5nLsYPlz/GDv8qt47aOop46iZDLwKYhAIKTJcyyX2n2
S5HbH7Vjv9aQ/Vjsxj/+/Zf/SeMx//te9vbH31yKy/741f86URBcM8/N74/dX0TBlYrfmh9FwV9/
w2/mPP8X2+TBoOrAZOn+0Zxn/8JCzmgF4qxjO8Lhm/6HKOhYJmLzIta5lhvwXP9mzrPkL/wOuNe2
aS6a4L+HqPXdn8mwlslMGGyMdJYNxXR+WiFqqnpaKJL2vgqFfEwiOW/6KS5OIw4DXGhjvx/q/DVO
czqiLd9/VUhtV9gTey4b/J/cFwD9LnEp0+ckjhUUxNm9iKDwwuM4dzG4D6uJOR80rvtMeQeZEop3
/j97Z7IjOZJl2V9p1J4BTkIKF9ULVeo82TxtCDM3N87zKPz6PvTs6sooVFej97VJIBPh6RZqSuGT
++491zkH2BjQrDoi/amnnF0IFOPVs5zyZy7d7jWaCbdTrcNR4rjadIe/Plt5LYXFeFDSLaQNExL8
YD70C72Zrq7yiPTGmwN0wyEcFHZXw9SWcMBs2iccWskpyTyLQiVpF09IYrN+4CDRTnrCX4S9KRkI
TTmIf5HIg2em53qXC02cHI+O+jquiJslmqT3unZVvGwE9edAqBGLkxXy/22VUDfgiAFZYfI3v73l
8YNkmJdHfCFsVAYnvc5m0tirpKXiTs8T1ybQSV832TQmIWKOzT0oenxCTFkscjjltlz2ikshbe4g
OhHUFNFC5NjwkQN/yLxqDwF8W+78cTAyFIoca7FGnAgAlaqv0bRAc2td5tU2cG0yQSGM8ft2Vurg
YLPHnAVyA82EexjAKDwyvQsOX7RUxRnY8aAW6NY2Jwa2N3tBjHqyfiKq4pFRInAF8EftZp9oVHyt
Sk/vAYh2Or/dqF+w3LMk1tVibCeEV7gb1ekV7SgGNvhSd7eDZTXfqstQk5KW+33Ple9XlRrju9EN
zhFlJDwhS5T3gKTMZxZyzSUVaSLwT+uuthWVTs34BMcD+IhNNmjtJo44koBRe4KlHu58Vniwh7mB
ixJjFXKwewa7Px5F1yFRigqpMdHGjeGwqiOBnj3lFOk9ot1H4740AV3EswZhDT8DnQKJIFWowxm8
VcALY2rYZHcRjbTOogaIohuaqaB7Qpfq2xlPUjHykVJWQFzU0DySBWHPbSv1BvrowEDn+kwlH7Xl
Ry217XdWf86Jq3e2x9Bo8jGVhnfFQVPqK+EWLFurAe1sXaB3Q2L1uI2T5YUlg+AwInNLLCSHFr2J
nIGDJyhWQ/OgleBEpEoonolpf63qjwooJsjnMvdJtmovtd1MJDDLoz712tbtKVmhMebWsVqd2GRs
c49AddDYrxQDbZaa7W1ZujQYzW7EzluORP3qXxAb62vuNI91U/14cYvFxUo3mUcTWYVm3832eMsR
XFxR2WsjcQaiqg7EBNpYbgGeRC6ALmm37WiaaeHXMMnwwkwsFEs2e5NOfxjiOHGMxqnXo24xWdt5
BERt7nKMeOgCPIbDMxpXcdGWiowG+t4uo7Ojv++w4IWrEE+hXPyp+INCbZIfPfAisnn0npHs7sLo
FzF4Xfc5TXDilvrceUc504S4s3o+HMAHmTax5xj5IflDgq5vi7oYnoSx10DldU1ENsFNv9Fc+21P
HeVWQqDma9FNOyMX9k4fbB2VvDYORgPzYhh1fZeHQF5X4RwEzy4f7brvBrkaK4GuACeq8eFgESPU
M0yeRdL1W8Ud/EKwTX+U2CY/JE5ECz2yYT1umrDD3CC9C0wZbPWkjH8qUDsdOX+BWWXudLUdCcBs
gGOPE+t4lwfeGvr3imzzvk5Z6y8FPPFe0em77cs0xPLWuuYFJd/BAYebAKJZ82abyIsBNWd+HYzh
Nmf1scnsYnjUM1wTWtanbGC48fhmApCg7blr8fm3d5h6evq7ibl8hcTpycR4+zkUJ6Im6tzR7/HW
mGFLmGqiDirVHrmLpkCxZfqgsNfdnFafb6aW5juJceOuLs5V3B2QRRS8ccjj+C6GZzZVNC8BtDXX
CYbVAyQF7aq3lACeLL5Nt7FqsjO39GRYp71HgeGYvQee1727Wpq+1HFfXviY03uM2fZHB0IoBXal
T1BmwPTcwggGTjQohEQznFvgXnBMR/CP6xYoFWS2uZj9MaCCz/b6E71imK3mQdQ4weZTo2FtIH7C
r24e02ybzfn8GMwdrgn4j+mrhL+7UdXU3TBpscTCUEGQPJurNe6H5LvGmnWACscvKddE/JjZId+y
5e+mNcu667BIb+F0qz194c4vY4zUzglCjj680mpNQ1LRr0jQdRMv0kI7uwQvFy5OthtGXvdVU29p
93O2sCfGh8hrRbjqtLDcSSnTg4eJYhfYUbWmczx71Yp+fobzaZ5nC9LOynBr80hnA/2ORWQZh1C3
vuFNpr5ujOmXiGSdbmbAP88TxBEcQowehe/VjXueKplcTNkqdCnOVgz/n3RDxnyNsVsndhPeqI61
YJ/MQUhocPTSj5HzNMGnplvaBkNDeY9/2+BKU8fzU2kyvKF25f1RbxsHLnI6PE+J8d30cD53cdBq
RDjJ7LteG/52+y7cFg6R0JUyCRqr1oY1ZI/eRAbGMl+Sxh2fXI6az2ByYw5dWozclUx1FhNuIqpn
VyXZ78xCT+otJKk8ou21yjvjPUpM09k3GJhvHYIUYRlvO1GQQyoLMslMQvbNC8KvBfzGoyVPNYC7
TW5CAsNMsi9q41Gf+T2rpByPqg6u6Pw19negfLIfZ7KDlTIfU+qQ6IfxYnGaisR5HEhW4uDpzV1S
eB1o/YShg9hu+0XV9RVVk1+UMpuDWWliV4PSx4HWaNTaxUnmF5ja7rEPtsx7Oq9WHKrYZIPxmVVK
tjUg5q1lYTR3mWtPz2mF2dBJPbHCNuUgBWaAQEqhPUGt20y2ilE2TXk/tiK/NkDV0IPi5NVQyjwM
Td5vmqGovosmSYEktQXLn6HYT27hvTlWrm6B4ZTfQ2tOW3KXY7IaHUc9Isfj/SbfvKW8bG9jyDxH
ZQ/geojqD69o59NEmvLHJbO/rgJxq7Czn3JQuUdKaowvVSAaAt2QGAOnoYWvowYtPpEtCW0myXT6
CQJ9PM+k9CmjpEv8CkyKg4Rk5BeNlCZsuVaewkCjNy4fY7IJzFFGGHhbtzNAAREzuLCrYo8ZF6wa
A5slQTt9585MiUBVX3tpdcDaqtZXhsY40GEDcwFRnmEjpSsE+DNDZ+wnXmHfqFMCPFhxrJe6ZsOB
SWFaxmfVRV9I7N+V4d1AuLXbvOzY29th7D6UVQVnra50YxvVVK0OiHNAs/CF5DXnKsGVqYjX+tgn
jBFePZ9oUhm3EPW1B4kTTH8fq1m6xyFogbw7lcfvvszsH4asst9h4DdeeEnVO2qIjd+uGMP6OOc1
s18jU+8b2BCuyLnhbdTaA6yvTLi+PffzRW+1Cw5J8cAwqY6JRzTU0luwWU3sMc0t+DWJ6soSPqSo
eTWCoHnKUiPc5y35tWLRAccuOVmicq6cCN1G1GF+dkJzaOh1tOI3WH/W2cypaVozZ87XppO4tCq9
dt8zJuvHkoDBmecV3cHAQLttajXcp/hXsSi58HRszSDfWNENY24CJly23RDbYNEU2eNMWwGkRdjt
7zBh8rPVprCAQDCKq0VDqo+3mzgowypxkYjWtDtwUIKG+7zF+N6KMYbIXjch1ZKzzlY6DaroVU8j
NhFV1UE10W3tGLqMGPQLULma5Vf2m07md21+MQfHvZehbtOu6FokGRI8vt9SxcZXWPUSXnHqvsOF
6Q/sekEeEPOAWEmjchqRtUcAASZLNgzRd2LnRriEiuB5lE+tIgZBU1ajNhOq3srtSrm1a7HzQCf7
QGEIumtkdtcqCZodp9YngcSOro2+BN5qR7tM4v2Y4m4XmeEdW9yfGulkHxSldpiSAEg1mXK9iva2
iK+4SrzV4FS5T0t296iPjQbAgJbrQGSBn+qBRYYg3WnLFYMk954PYl6P5bYomQ35SYDxFj86OyU/
DrW96Uz0jKQM3FyR01VMH4nvldGr14xg9aLwqYtmylOz8Flj7FhxHQTllHQ3bucF8GB5QQiq/Ryj
nBXDcOMy8sU+hH7ehBZDghKzF/Nu0MOPrjRPIeSmFfKw6Xe96/jzWOO0L6Pu4KZYlDG7DSvWK7OP
b9+CLg64MiVW5McDpHeHhAg1lc126aLTs+mTTRxIwWjf4efw8QDcZlLgd6OVlxsn0mf6MWZ7Rwux
R67ew/Y6qoaNqGdax6Row4egYtVgBwSzw3roN7Xe92Aq4iW5WtHvMVO/wFCqqWE3GQLQcSCMYC2z
VFnkt3tJH0bWNWcH+lMM8ZjPVzb409JJY3Nj0TJqa27w0htm/9YmBUgEmr+5sCQd9LipVW7lz+Yw
3Gd6kkcbJ6y8F3zj0ycEkeDUOvMo9k1A3eyYijcWs4DzO014NCjMXHDgvhrxg1OFE4wly5r31aRP
K14c+mtYtBgIdYI9K40aNpwXadYeXdftmEFl23DkDdWrbXePFqvPnd7Jp47msRMHDAuruJJ77JSf
NGxYmCwWK8CUrKFoeaBR9eG3qfrIZDrV5TXsLbw3c1B0PHJV9o5j1VmTzq2TVdkEwwdPVrxmdYUh
IM+jXe5Mzm5SvKoF27qDGdHmmczmtO8o8NJXMjK8TWw21YnEHALDwnF5oQA9ey/xf+5ip+uLTe62
Lk7dik166ORLaTeo838orP+tvj2pCmfd53ceU6zddk38q/tnMY1sKiKZhzj2f1fgLjGY9L8b8/79
j/1vc571l22xm0Gh9iwXPe0fzjzP/At3M7lUvmgSPdkivPpvIpzNn3CIJ+g6DCsWLui3/ybCGX95
WPyEh3hm8Gcd5//HmYeP759VeldCgpCI0wh9ePwWEMDfBVxs3vBRsHPsi4HMCLpFtRtFne/YsV2t
pvUOcTC8J8S1VgJe7eKjuoSCPuZ/+sj+k10ByZ7/5Ocw0R3R8IHi8nz+/eewvBBLQxkMxAbbjNSa
saW1c0tSyunPEWlTCNnOXZAvvUNMaWrhztGacEmiiexsYz31tXttARa3LzPsBr1AZOEeFXNzxkMo
sV25p8qAW4ylbmWL7l7RqIJtAuM+woqv989jm5yVYHoOaH7K27spnW5jGhxN/O/kDshf5q92Dq0S
QyKyTPrUx1YDrDr8tNnME47pHZ8mFNqwKQ2F+s9f5IOwUDZeuLcWdIelgHkGiroA6w4U9pIcg/7G
B9vSCPVGI2IKwXgGUhjiOJqcMxKTsRX4w5V5KbVy69TgdiRWqPkBA9Nj7bTHlsurablHmjypJcdz
79aP0yTeJVoZzPr06tk2QJZwYE+Oa29vifjVKxmTJU6dSfwuo3gv9Q+t1Z9pgl6FnXtpBByzgAL3
rtwYk+YjkNR04fFjOJ5JtzlVdyr7KrPhO64th6sz6bkidX5MOnIOrTCjQz5bOff7vvbxsJw6Y7xo
sm9pgEImGQ1zbSnnkU6OQ6M/tIW7JrrNO88eH+spvCNLvsW3mfBpeSBwC7WJHR/7/rFOrOdc8n5h
SF057WNdTD8DxJyp1d9njj5V6TQYjxWvhXirRHwyazCo+QSHJaDrw/WeF8dMiuvLsbh1gWL3J+A6
Sh+uoRa8BRXNesBcGtdji+/2z8g5vmF8l3l+bemF7gdOfJtsdDnN48ro2GyztaElI/O9qftILDoC
7Y582ZS9cdddUTX1HOe6Tl978V0uSWciPD4FzDkBCG2TJ90vvaPyPdADBnJ17CD3uMa4FkP0SuXz
k52/uoy4twR19JUdL9wJ+z6YhmEnFXNOg1fpwELYd4cUoBTGlrrYd1H6hgXqd6qVFzXfKvHc2phC
DCKyBA8xnRAFZbs5H6owebWNYtz3Q4nMHt1h9D4PE+BRR2wHYd1sdd/I6uLSadA2dDiwVC3PNvT2
vmeJSuTtriPYyU2q21s2scauI5wVFyLdy+huCA3ypwtj7dAW4MmEgzIuvbsYUNUKY+1rNdPnkzpf
wRxvEgR5MkJGc6Hrl0h1mC5pboSJqSNSGX+JTG7r9A6IwJpc9X2eEyCE4EQo9AVxec/dZdV0KGzz
7BDb+sPj2PHVcH09MvODtZjPBkPvyUc51xJYVmS6t8Kcn+PBFH7du+8xZup1SvWVM4u1Uta2z6eb
yxYPVW5dcE054UuhKjv65Qz2nREky+Nk3hCdR9I94hZ74WFKvY8irVk/iu8yNQ7wO+6VTsCFjEy+
5dK6FwXXvaymk6l0J2pCmuQhBJqxngP9Flrk5QrjroFFp7c6nzzDQgguVlbxhffW6DuBRVqbCyJ3
3SUCJe6Iat8TwKxXqqieYlnshiggrCIi2hDa6ou4no896iUn1unwPyCNAVqi6Z7kSwkCqHmGvndj
SHnvuVnumexpnnLlyzyqR3cEMjV5l8ntTiT8VkPePOnUb8xW/d5l4sPsACOWwVlXZAFV+poqohtd
xb8HkFWllVy31WZ2Y/MBQ/YDRsbDlHMhkG5xhPTIUJjSdFTb0OQAMCR7V44HNip707R2M1KuheBG
C9mnDAnwj/T6YTI0LyTGIF3VMHyNWv6mg/BlEuCly9Te1CMwcyg3QI2ydpNbXHVbo9jL2fs0e3Pi
Ygy2wev0Xcb4uzYT7dksLXDGCgRK01w7ZbzWXvGlXLfe2DlGdD1vP5PU5cFYdhrd+D54wV2hySdt
lAuKmFUKrMIWTuiubdKLWYaHObR/1yE9n3oTZr4Rt+eZj5XI5SVd7gXYIVfkX2fsgHmCa5ZIMqwo
gWEv2BCvPvHoHTqDUa63tbumGtCGojDdIOle7CV+E4fxd1NitZ6zB73LaCOhnqjN+l3t8n1AZY7c
dNM47qX3rAPg7SOm6g2gRbQm9s6SVJYG30kFXHFAu6fPAQUmcdfsUtWv3LEAzsohpJfBtouCXdU4
flV+AIa4wjx9HRrjMGWe38GfGNtuPw5sdKzCN0AlrBluD3o8BZhTyQS6jwi0SPz2XsXXuuxeVR5x
v8goRGi5IhhvGLhv5jjs0xn8m+vt4i5IfdEG+1mLZn8amicn6D6btMeqbU/cyBpUysbHvr9yWGIU
Hn7vrAe6e55wseaLkq0VbK5m66ImTi7ivyuPaPZKE+6dmKLfFawsCIylq9+i6Scf5it33i2SNoqR
9dMF5VL8nPggDE7Mbyjk8Q+U9e8otG+W010tp9nHgNPJC2/0Hn6NaLw3iUE16X866DRw+3BvF6ix
zVXUEw9h+cYj8lIrSs2yj0Gm72hNHyGqFxSjc6/3N5ZF8NAEx0sQXQSH1mwM901bHt0RKCk3GVUR
kxX5Rx5ialea/eW5hLOoXyondXHDOCf8TOOPZ+xzC1Sc0X/2c/8WJd4mE4DajeTX3BRfuaVONIzJ
ipKHiSIDAdnNiapLSxdTnpGqT1D9oRzlx6UUnioTm2O5n/0I5zo7DO43+W60LnMiDyPcV8yhvwc5
bKwMvYqyNr7N3c6Z/GwAQBel+qUMqV/IPPJZdnrfINKNs/MA5oSe6mGFo/sdO3BGP/hzYqe+VWvb
qk2uVdLusfqXK2uIX9zYpU0EYaSI+NdK7lx4j727yyZ2Ynn7bXvTKYpTEAF8gI15tnPgBM5ETVsd
b8I2O0Gb9x3XeYFCSJKhx25nL8VVVKeImsywIApOmV6OJuzY9+OM6OBE7HwMnD8EO0vyI3TljVpz
TBOYx51Zrgpb3FWR8x4mivhA/9oO2Q7phyZju3lp0qUTEUqK22wEHQQOCM1wYpiZIZiZq56DNw3k
2hL5Q12h0QXtThl49SmuMcPLMAr8idF09jy+6kEJYOwnw0/ex/dYFY9j7t0FXQxn4qjFipIsdz09
TDM1Ce02copbHZRUt5rNxLom4v0RbzS9f+h5FfkKzyfor9l7xmD3Go76Q9zrnAdyF4esntNdZ+Hm
jW3aNuW2avozbJv7wbhDgN1k7ZqM9AfrrNVUE7Are0hPydc4dnt6JM5xRfJCq6fjRGRmPdbOj1e8
RDybqgyPI8XkSYO/nbqZoqq30N9jAxJWJp/Y82wlVvAYfio2md4XSx2DZH7oNfc17ehbU/VLPYeb
udYOvXmiKm0dk0DnRcviN3COde48Uo8wiE1Iymdc05VZe5Qi4n7W8/w5ZC+7LgYoN56bn4keLqNl
S4d6UKSXSjr5L01E3qYI5/IQBBZ9ijoxjzd4buULkAEw/+Bb1wN0qZ8Ces+dh/EeeKA1fA9jSZgZ
AWEnRMLdYXaCYR2wbjYlUZYS48UvUEHRvbRYo+p1yBaDw54GGJPGgdL15CbDLvkwDxafpNZFH6j1
eBnjila7RBPGpqvCEqVSAh+NUOtgVxQ8sFlMVZCiJ7qx9d/8lfKXm83zl5Y7+h4SaLcL9MR4LJ3G
2hogIm8yUs1RL5L8pGtu88h9j/mYwQz3JjnL+zpPrSfJT4xCU/NuSaKRvXFbncrBDg+9pswtRRu8
42Zt8mkTkoew1hC98iHzdnRA1JeiJHfOu6ZaI9LNB82r2ouJy+KYNX179Hp3IHcN+u5laqAguKVT
XTqbAi3KaS+lZI+BSVBPHkvZuS96o6tfVVnUJ0SfYBsS4r7ZEH3eyax4IAGL+pmLDs+PbMP8S5I9
YcdniRFac5Tc7KETTyg+JBIsXd23o1ddjbERD4OdTDc8DRHm1JchFjArBzjEczc9BKVhP2u2rYZV
ESvznbTsuJ1qEMY2edh7COz9Ff3UpW4i6j6ihcqfl7080T88fbH1LO4QsuD/GV17o4Kb+EKsKu6Q
Xr/yQlwMcEX6raGKcBcy169ItVKGgxNlZQWmQQwnyXdeFFa7fLlgFzSuKhTcwGSbQXu4YcHoBbqE
g5Lj6YMKYfNaTb21t+nRO2nzDHN5LljCZfFdOX1MENapNyaD3WXqZppkVdgBqeGx5ZupjNhvVb7D
Kk8XaD3/EphCuPG2vfCxxD0FmvMsi/nm1Om7A2jSFvkhAlOMek40rsMO7Uynmuo7auIcUEtireF9
8W3a7YXi/au7b6NGrY5KiPcY9rdDHsQyk08o+RtVgjcN0y1UyA21RSMvBiCT8ETwIV5laOu7Imhe
J7N8wux2iJHKMrv3bWNeR4nFT4zVJ72aevNiGPQKVVr7RlyIvUkYM1HmztNgD8+BZtyqpapD4ySK
o/SsJu0QSnWTcTgcKvomfUE6imaAAQbnTBQMq7Q0bToekmKDHnpBisdNkDCUt/g/SPhtB7D6RauZ
Pp0a/WsfVYsD4ORF2AE8uQ2z4gfa+PN/LXaAVPib2CFtKlEXCxV3TcG6UP+PZlpHJkxMwhn3TvbK
NT8+zVM/3aaxwtNvZOqoO0V9ncpwvl8IJg9j7IgnI2mTWxOgP65a4P1vMh0gB/x5VNLlqSGJ7V3F
8iRFyzOVLk9XvTxnxp8nbnn2wD6mjxRTIaCUPJr98oyCI6ouanlus+UJDv48zNBz2mOfpewMAp51
tTz1lLBVi20j3OT5XF9yWmx2I+YSOg7CQB6SIFU+O7vgDscZcfblbDGWU2Zezpsw4OTROzr0anu0
nkhUci4ZbN1WYRSh1idl+6iXbX7CKtsciRd3NyLl1tZbTjozEJx5y+lHdnz+EsuJyLLYIOPBKdmo
LqbRhrqgqo42YMQ4TPvlXNWottog3nLY9uSX9yqVxC0r5oxKV96DnaTeJrLM9GWwIi4M48jxTa2b
c6rVGN3bXmn8Ysc2bfLaw0aQ8JL/8xKga8TYjcuboV3eEcHytiiX90YSe+pHX94lzfJWQc8pX4zl
TYPyz0uH32Z5oOHA29TLO0kub6d2eU8Fbkbz3VQCx+AdhltTY++TP8dBzMZHzu38jUh4kmTRm1UN
EullbHL9jRp1LMt0SZmvSriIWtg51DvbZNJCypLJtgoRoFK+m4ufuFzNOQMchEhzZYGdddusuEZ4
5kAkm9G1GvjmETPfVkuK1mEpQ3F44waf9p+Ebfknbasvwdv2TwY37v78jVbDPd/NCR/wntbcJcRb
kN9tgZvelSyJP2VtmiQdOCR2zii5r1KcxKSQd1oxrvDypl+WXt2DRWb3Vv3x40cBO9eG28K6/+PV
H3JHsh5A/NZFBVW2rh8ibpv7UbPfmwIpp9cHbhIzc+XM11dlROpCNW3IdT0lSf2UdVD9NEh5/qwV
+RVUFaAbLuy/ucS8alIXF6unhbqt7OchZvQcNNMCeUTb+9BFkm6pMHuQo6Od4USkG170LV1Dacyi
HpOSg7fvGDnOU2wkTyDcolNSeykVJIzZfa4fQ8ugZ2mIpmjrTMOyiKVRdLCcj9jQ0UqMGEI6pUFZ
PUdMxWlPdFmdYbrqqzHnH4czQK2HO7yJ3gBAJrDEFVQMrNOmNHc1RA/fGLycejF7R6K0X1O/CodX
r8UWMRVZRW8+sx47mYegqDswSpg+nqtyeimhJz+OWsV1DO/+zu57XEAh7Ppz5FaRn6U4MTpFq/JI
F9DOSpxqK92ZphN7aLeDybNWSnRN+me5gYUKmvrUfozgmA7KSOM3ADQfwsiYIETV7DJXdrvcs5pd
MEODxr/fruo8xwJmtNCJK3AyKpjrtU7ied0lAsAGViRGi0rnOn8nakUDiMVDrCKu/JGEz1EGkBY9
xa01WO4DrTc88efEAeZXxmvXtOznVgI1LzvyI2bl0TLPa/dC8PTbqNr8KTWB4suJA4Uc5je3mJ/E
cp6i3KHzE5LbytRC+1otPfPQ10D/eNF3i/EBajFxvLRuc5+pADiair9wGbxh6tFFcukgJwPRAa9a
kOo1ShNYf/HjtPODwizAKEz8EVxsZsGpds0Nl47wytJv8C2cG9xEuHgMBSH1srSbx8Ew9Wewti23
V+PXVIJjF3Xy7DbZ3mg4uDToO9yMqRBwQiM6h651AiBN15zF8zU1vCRKjXEAQfo6BIKKPwyW9T7u
hvIQmVq0h7Y0vyUEi0mDWmo7TyklalPrgp4lvDV/BPDGfeze0Rq2FM5XgejlksX/BGhjHUI4PKcI
iPwh6+z2FmCbvRvaoLgTgTZ9BZw/J8Os3T2Aou6DtJF7rpcpy1rmrfHP5LXMYKbWuQdtBMIc/JnO
OHHtZ7mMbM0yvPV84n9evP+9xvp/rbEsIf/LHdb+s1GfBfmO30UXd+rw/a//Yvzjz/xjgeW6fwnS
Kjp0K8N2/tlI7rKocsCrEpyVWMZBrP6fHZal/yVxkEMvYb9lIaD8k5Hc/cuxSCd4C0flz0rsfy4+
/v+YBPj3//4/ij6/K+Oia//1X4T793EKnoRBts+AkALiVXpkav6+O0oNk6x4Sm1NMmjy5uruSBfg
XORbGr6Tt5A1KUN/lR0K6u7SlVczfFMzxzmf1sMeJ7cHUKHpHj32MUsHaeK9MP9bb+ZYuNd51u3n
WAQtDCLdOqjcSr7KWLOokAmnQ8F/7p1cwFdmy4a3pDY6+zudZhP0ft13VyfTzScwCix8oS8WHPgV
DkfpZE9mZoy+9HST7Y1l3LW1leKGgirURU4Og5KSXKcKkhfC7u2xIbn3gtUhuRDj28Z4mmmn9AZK
vms2xANwiCTpdBSQRaVKJUsWqIaHMpOQyUJRV5T8lSFNLVaxi1saVZHXMl45bHMsOeWPqIHuihVH
d+0JDvmAoH0ZiWW8cPQzNrXqYkWRdpwy1jMCz/LVNgdmZzdNH4dO75h/cJ4krlPQR2y3RPZaUGlt
PTxkBTYGmkLBemck9dJeXIO+yYBOTCT/pt57NxrbIuxYDNhTTGDjZp3essxq9mIxwHRNpeBCdfOn
l9vZCmMXFWLEpnwzomStm91sA4IWm66tm89BWv0QDAN/WHTUUBENTcd3vZvClw7sGBC1oH3yAjYk
xmzP7sqWc4U6VRtIeEqnwuhAPDpvt7EV6e+5J0DF2viFcGLP7vSRqHqk1Diw47tCDsE5lvl08siI
b5oKGBJ3yVnGPpxdzyc9rlDjNUuTQB2zulyhrVGcPfT5j4FSuQ+W0x3Flf5OtL/ibOW2hqFY1I+Z
4vdi17m+bmP6UyYI1nNEVpcuJ+uS0mvi51rRvU6JA1VBev2ry8z4gnMr9NtaezCdpDolw2j+ULco
VjkU82mV9DVdbglT0b1pJt9RJD+EcINL1cxUmVAEezK5YPv9SBffqmPVayxxbWwfrluJyzD0yQNX
XDhXc6uOFC24t7zydqWWPk+AJJB43XA4D7VZfDZtDxfdtMd9GMvo3KgqBRicbcxwChChWy6rFoyO
+9GT5W3sUO6V40xHAu7iPbIaR27SedDe3FjEL2GVpYciHcePnJDTJyg4gP4YBVmiSXkarbr1Y2/0
U0fcx5NRP4BLzNdenw2fiVXXL2KiDLApe+ud2RaFvh8sxVwcuAbrWDLfNpuCyOcfra5hCwN3xVI6
PFlRSfuD21Q3McV46WRVvQaecODV53q/N2tgEWhOVbpNgmwVDLoC4Qsc5SHUciMEDZKD+7AE/g1g
D/y87BJoFTKN8cXJY/eILVT5mAbLS+B2DMNdYt7iWbaXqugRgyKC/+3gNiT7MXzGa6eqnEsahZSb
BBleOBAOxm/pKDpSHVFfTIPIpz/Sz2yshUmF0EDHJVyPtsVfT0/B+Bw3UVHvDHwG2RpXGksNTxme
n9OJXa9A75DRtRabUF8MYhF0+k2ZWfq2h6FRgDyA/eVXMCXkukiiatNZ7hBvZzqzrzCua0R0juJ3
1zbZ1ASTozCpiSWFrmY2qv6Q4VFfNbFDiW8D/f1M71j5RuoxzPF7Lf1t2lB8t7iOJ0xkoflhN2IS
q6Jqo/eplEz2HIgUGLgFEzCrYJNlnSrsbiRnYslng9vCleTw+Fbr5lwcY+zMzgqAg2KiYGmy63Jp
cYnAZ/UV/i/2zmw5biTLtr9yfwBpgMMdDjzemCM4D6JIvsBIisI8z/j6XmBmdUnMKsnK7L5c636p
ssosKSIwuB8/Z++1C/oOOIZK/dhhsXG3XurW1+YibbML2jFrwrImFkZU4kBQiO7bdaKfur0rzEUF
JjzjyQlHMGdJQdLUCrMPZAXmhpl5IDqrrNe2aVSXA/O4cDuOrQ0FnEIeCvVy7thPSMoxHglV3EVO
jzBocGcUeuiMmleznj0ooZ3jhERQKdHelaFpnOl6zhhElvA9NXOHCSokaQAMR6lIoQJ0TxEBmmoN
OIYACc7gkjDTZgrRmBtU02ajlso4tWi7YZvskWYm1gnxsMOBvMXI0YCy+14bTv6VGLRmXyCIThlf
o7QE7Filt1Gi/a8dEoWL1JPfq8moX1TEgZkQS86RhNtw3EsLZ9eZmXfqVDc+T0D5oAl1vfMsO7MB
BIw0/Gg6y1gg0ikWK6vXt37izu51kPgGEmjJVJCZUT3svNjjB9Q6bPdJ6rWM99GqAohk8f2COWc8
I+I8eDChNcFnTGWzQXRlDgh16+HdctlVbG8YodYBKNqG4aAujKTnRIpFE4xQm3XqaBgQN7BoOO5j
yQnhnnTD5GzItCBP0uJItS5CCWkIV0S/9yH3fOlQ0F0kmWLanRhmzHwWgMgjx2y+s8bTeoLSLcHp
kUwCZpzT8qmAJPkVA0ZGc4vgo3LtawJg1rZn01anHY32D+Lnk2GnpFYBQOULqj5Iv1VGny799ni+
zI2eN6b1rfQrHOLujDXUejGtdvrKgNQ9pvnCkvX1HLP2cvJdD/zV+EyKsQOhGc83TY+qj3GMN+xB
ehlPVcoOJSbX/JLlZEFbpOXs/Sj3HoJ5NL5w3EpvpA0ygqBFMpRCMKIXdkqXblVg/X9n0W2vyN5F
fEi7tX3oezm1mxkM7bORFOWRswm+BECr9p2KQuhDrIrGa161jHfhjNTkX3u5IdfCdykV8OWkL1FY
zuXe6HvQmzG4SMIWo6Ku9rGgn9FmNQra3MzfdShdsNSkNstVPQ36NoaMGuz0gO627uO5W7VJkVx7
oQUWp/UdQa8iUMOZ3yJLcuM4vBnaEM1t4w7wYOAwECGVvnKvkHDMo1s+MMdkF+hb9ncakLfAuo1y
ldgFzE3cMovTqUTob+iE/ouoDPOhjJeQVfg6yCTC2SFAxNc6OLRR7XUk/AoErknnBO3GD1V7ZeJq
4/FERBCtRRIiLlkGVQD6YfpHKVcVdlT50IFsvmnBpQJZirjvMa36azgE88U8mqyopiub286CMTq4
Pq3m1oTG6EDN4o1nDHiMyPM4jz3TrtaSHY4nQ00agkVn7azC6sq13SfoK2aTXE28x5wM4zq+chBt
wkVyc/FCqGbxYFTIgVYWZpdLpx65Il6aVLiZR65QKcvoYI2B+5JEqf3G1J2vFRAc9uBZ48D1DSci
C6UO3pgDE9mYdt4DucpAkxjksPi14jKZ7fginRTsYUOl8z4eYnVgpy0TpI8W89ssxmq1L2CqnPve
6J6NsgVWjVeojTcR/ZjnAV4OUB6gG9/T0svefRJoTpwyg1esLCAog2b2zrFTXIaubR6nOWWb/99D
48cp73eHRjALqA7/vfDx/CUhGeTb8P5e/nRw/PPP/XVwXDCCYAA87djwBTHP/0P8qMUfHBpNaAQk
dPwVHPKX+NGy/tCm8jBPIQVkPiD/KX50MSB/nPa0h3RSOv+ZA3kRWP6AKFiomkBJtYaM6wiA994n
0aEiwSGs7VxunCE7eRne/cFNz4OsfiZBFbeDNikwF6pG3e19YrbWHPQegBGb50XTP9pD/NSVNW/O
PO3HsO8ObdVexwGiNn7Fchgwok2FMHddq/SxdZeUNy95xP+68frpBNNDrPIOqPJQMhYe4qsf7sa/
0FRy8v7840i8QNNJ9AmYG/npxxGPF7bzBCpszOINMAQOL9/zurw2UTz9Z58kl+O/Q/wplnELP9UC
MP0BAhAYtaX7LJObxsL2gqc5xvI1tSjoymDz64+yP5/1Helw4KcJweyE/xI0FX78rMmJhswYKmOT
O/2b9mFH6Sz/2pLNTD1qAakqgnXqMAAyK6fc6L5r1qYDolWj4WJzZ5g9d+VeRng2nP4+z7MLQ4l5
o1T9GBjDWeHoFxFuJKpQmmfFaz1m07okb3Q15tX5JAOCH1QE/tA2TyD5mqPd0DVue3yO0oyGTehP
L04/P1VV9GyD3l+lCQanX18Da7lz/yRr4C6VePAVfnlkwI6ih/LzNfCVxhVoG96mcN19SIKrlQGs
LkOCbAt/7xWPZea8GG6/JkyReEdqFPI9voEHev/1F/n4oJ+/CKJh+qm0hiQG/A9x8Q83no7sGGSB
YnDdkkluVRUYJ0M/ukGz2FrSN8yZZ5KYgShNz+oOx5yabnqfYAiivFMya8QNZte7eMQFpaq9DPTL
HAfP2YTBJ1W3v/myi5L5xy+LUpqS30UWufSxWFx+vmp57LpGwsFsa5pzvFacqrU53BNPc1cZzkXZ
EqzZEVrgOYcZVX5UmQ+c7sETYouhg0/LN94AxcPFYtGwoDO/NP4xeMo/95uf2ls/trP+dnf5nh7+
TRdeq/TALCxvwA8XVQWVdqJIG+AU0zsci8CRsgy14YAeWXVUww2BM/FAS8WhWMaX99xX892UkbNL
Pfjri/YZPfzpu7if1OGmA0051RhofEg/Y8mYH88IXhqaJ2Lf/PbjPtakT/eIwpKnSXKnoFZ8erK1
vZwRUvApdjtnqy5g1OC2RD5ntAEmeWcFqcBbniFbLQyiIDMdXTvhdJRm+Kwn26YL5jfbgOQO1GL5
o08ybQBPNYub+5nc5zMROuka59y481V0A1W9Q05FBoU9n7ttIw+xA9KgBCpHoSmwaRbWFkPhmeuh
zDJyBXRUVouOM9j5jF9Wpdc0WDXMCS0I52GVgZUQdWBzVJ6vf30jfl7MqaKWPqowHYe9ytKSfe+n
hwLXXNoULTdinuV2lgFBuJdj7MLvufj1B4m/vyaauTSbIlnG7L/q07aBKI1Wjs87bceaQ2nynivE
QNLFVT8vkBuvQaI8Dneymo9tN93aSCp8N2ugmvvPNaIn8m2/AZJDL5Ac6lTgpCEhq0j3v/6e8u+P
5s/f8xN5xgRNF4gSr68/O+eTNeyaRNOcibNHnw0ac1XPoaZkjBYaYbMia/OiHgk3dsvqMVhUewgy
gd/KBpoDuNuDHUf9BTD1bEMea4Ji1/X3QeXI0+zUyQNn7GJdVu1lXwz9SpYdaISWjpQhSsmjxgc7
Zj9tMIXRFqoWNN8w4YSvomwLM7jb57L4Orbxix8yaCUsdHqeVPcgZhfpO5XD96xETjmSQLHzuyo4
o1s772BfPvz6mv39IaLaUZKqh20aovintzlpPcoNG7l4oPzLtkhYBPt1ZOu9X4rdrz/qEyppeWA/
ag7NsB+pEYSZnx/YMTarrrELb9OL2T513fyVVFX7rKw5y4cDovG0ogOWTxdN8D3Q0bAu7GZh+LHB
Di0p7/NkOdwUVV9b3vSbL7d89s+rjKbxwVvr8VJZ+nPZl8Y9gASXkJ84S08TR0tlnM3Vl99cgc+V
CleAnj+LGKl02hLL+OPHdbwWSdBBuAE2TZPUHfV4wJeQbBYxwxyFxWZqutshKMuXtFJf4mG6UY29
jc1CrrXMsd6hIcbZEmEMaMZrt1bheWoQIFUDVPlNQfGvvqnjSjZFHgtheZ8WFxSlpN0pWM2uU7Cq
RNkO8TP2eAwKAQBDpKN6Z5o+4oz2N/vLgqH66U5gQBKOS7NMsSurz4tNDx5sLoICSnSpHwjUY4kh
/s4DM5+LW3pw6yirfvOR1r/6TMcSwpG4X1jgPt0Xj5QQHDtI5BkE7YF+WwAtyvFUSnBoIqK0z7q3
ECd/FcqXOHJexCzwuRqvuMeCdWgUxaU75t9jbR+tQqNUvP/1cyP/tgBDdqG+o8AFZ+byFv383IxG
ZcEmbA0MEN0mooPoK3/nx7wutFEBqiYzclceomEU32MVnrrZeW6Ketyh+HmqqxmQnSNvEVp/B4qE
BcYkbw34AoC+68FJ9oDJ2KqY3Htl8eaw39JjDHZ9YHhHeJH7uZTDiX4HBsUR//jYAdVTzfuUmffd
JJ9I0EZjlqObSnaSQIBtb9fJb+6Q/vlYxtqByodjC9kDhB5AofpUBeRR1HLaCPWGbvi9yNTN7BYH
nffGqiwJC6NJiPFKhRflGKTY3/knBeLSesIAAOf6tq2HW1nHbAaGQMKRSByYNRu8ZmhGp0lXDmMU
r8HHY9fnQbNYjicW7wqhaj04FpzWhK6OHDbgJ17QTufM2N273mZYJaILC0Z6kopjzbSsj+l6Dybu
WAzo38K4LzekyEDQiTY9X9QyM2ZZ4/kYx+dJmij6fOqlb9uNYdvoZfNh37YO3q5kT8LQvB3xWa/o
R847mRO8NdqEuhmmtTIXdW2bjbj5E7zEslnDKjfoIlonocq3AW5Fge0IsHXUvv/6YfzbJosv0eGQ
rjnakSzweWXonNzP0ZhRj4l1NR+UPixBfqgVyAf/+KT/17P5/4+iVRmG27zb/76Bcoiyl7fwJf0/
1/XLt/cm/KmL8ucf/quL4tErcTkKABRBvSv/Ge6gFYN55vF0vNll/4x9+KuLYtt/4Di1oLyxDwmW
O6qBvyykTOY/1hZsn5bSH//qP5i/Q2H+tIrjkeXgbyrJu2pbQn56XwXyZGagrYvG08dnq5upIucc
mHYJDOyNlh79XjP0HoZKuXvHGMjdlH670UOMPIdy8xtzkPxA1x7QNtS1LvOyvcza+DmtE40H1FmK
pjap3ipYXgA0KmIBhym4NCBI3LpeaOyKLv+gZLf1Ny/3l25Mo29LwDXDFh+2fPPTIqNQk064g72+
m7zuIool6ygZW0w+nfaIAP0I2AAnoZWbu6j0rswOCEjpBd2jE1Tet8RwOk6C4eTva8PvdnZuQYNO
43T8FkTSf+6U353mJhb0DUa2+KYID0p6BBgIM983Y9VtApFeIBpyr0CnDdtJxMWhCMlhrKaO2VUl
mSdB8VpW6XDrxSNurgz+/N5Pcywrsx+VX/q5KN6jKnIuWtOwT5Xb3c+N6UG3a9xrW1eSzUyRcSGc
gkOaGxXUVBjya731w4bO/JTFi4WQQEXAA8ljA36FHK+xPeWJeKv9rL/wkyg6j0KHObh2m7u0LMOj
PTV6beBIV6sg0dFrSMTEV+EHoGSiRp4HBMi/liNdaBREyvjeT057kTETeixo7V9ww/mdlJpUxvk6
UKa8HNBT5Btqg2IN8IUZvul+HyWYCwZhNBJSiCKnKlmIwjSeQaAQJzWjn2I0D1GFB15yoYz8DhdI
DNgIlkHoduZjH+CcI0ysOngKZ2OJUHPRLTQH4M7VZrA9fnogkN4HmIL7XvXlKhjs+EwZ/oPLjHKj
ImwGsI1bzjKMAdo5tJ9GhtiHTrhERUmdXdHJiIn6dPEcOgRRrWoxZBvNoXNItNgIhlJbgoTfgQz5
jL7yUl1aVh8fu8pFX+mb52VrZudDMXvfAJMFX8beAlgDneFhGkV6cukt3g95XjE9GbHTuL3R0R00
xQ3yEDNHwG/Qq0QfBmW37spvDeIrT9YIRjkq77oyFpezPWW7eHBGIHxph0ZR8NRGppd+4Vgt8ORC
7d0ZGdfMiy1zY9R59zyrsDgzXLfEswOejkLd3U2DWSMVhQQlCfdmlLYv8cg9kLFIsmDGVLE2AOXV
U7wZVBLuRyZLXyx38i5JfpzbtYJBtTX9gdK3CuOA04YZXNuzJZG32AsQB2RDAK2uNveNzZEKU8i0
7qbYop2n8jcXkJAHYsGoDoaq5Y7EZnc71sn13BVvjTWeqN45kpvDRpitsauL4SLr7fLgwkAhRR0x
Hx3CwMrFsUSHSqhB6Bi/60R+rlJY9QSNCpMWKyWz/HC0/9Cn8Qk4JTme5YBprAhXvcK8TYGS5yGP
Y16eMyMV6yEj+aXJH9MxtcMtTuD6Us4WHInAz7szdMLA8LOw2+DgTs+83mY6DmE9OQc1nz8WFWCP
Rg+RDdAilNmWo7TprxixJbfex/ucfLzbdggM+4jsVBLItKwLg8Levh56W36YCpPnH7ap6z/r8x9b
VFouh+sf63aafh4OB6pnupFsPp9WfMwsKLGSwNxbKgDBgykKk8md4Y7PoOFjyoNk6ZUH1bmuO020
Kfd45+KN52moy1yjGlW1tVUzeaLoBXyA+kINmzpO+3dGbQFazHE66mo4SEZnxLSSDyy6+tlt2h32
1WpPfM9JpFR3SRK9VdVYrHm2suuxc+sjirNqA1ufEA6rCU8CsalcN0lfbRNcPce8r21nbSZmu+U6
irVP1vKmd/poT8hldt3pwXuGt54/T73Z7wYnzV8Fnd5LFQC2TIM63HF8xWTRDvoR9r9/dDLbv56y
qL/lf+pdPXfRY4yv4zT2w7yB9uZu58xRiOXLeV/gZDwX7jAdgxAU4GqQLSaYVgR3E2zwfjXMICX5
2gMKriTcJcSk7+sB12LCJos/KOkgi7BGbuvGrx9aoSzEsV75wIzU21TMiL8zMwk2UZskZ90QNzQb
VHzG1JvUuK4R6sFoFfbl2TXu7GYQB6BS5M3Orlm8VzHSYAd844PSRX4d+lV97SaqP5lzZh2IagzP
/cqsD0i/jlntbto+dDe6qNt15TZQGHRnoTAahuFmHLLksh9yOK1hakX7UCJrS6cO5+RU1XedgL+P
aoNJYWGJVxLj/PvCl4W39tMvYRsPINpnxSmlbWackGY5XMzQWM9nrN57IsvHs5zkgfPMBRzK5DE6
X+wEtP+BbOxISJv8VZC54dqs+/Jcl4R0I8QobxxUgUClrGA6qAzMD32SfFvXxNB4YAivuyEsLhyw
sRusr0yzA7s8jY72bsJlFUkrn3IFtSr9Q3I6riZBigdT2WpIM2J8pouxcYx97GriANgm1hNLVbOs
WYHD6uUv65iNTvcmmw3ju7uscLhorHVaw6EfakF/PlqSBVK1nz8Wxu5jkWSlkJtuWTnrZQ1165B1
Jo04KrRtaIIcWNZb8In5l3FZg2shx1M+FKy5paimxxyjxE4MEyu6VVS3va6Ks9m0umeFOmhTEFaC
uqEWcFaXjSFe9gi97BZWaiFuT5Y9pAJ5bRw0Cpto3X5sQaZXojH0jKlFfGVV+n4yC3XVlKn0N+Oy
ryE6stuVW1iJ2hMzX5+MvoQsuuyTXR3PGzhx7KB5GbivQxkrtgqeaZt9KirPSEPHSla2WXXAkzzs
/dCFU1Z/bOmzCbQrmAziUpjA9DvyvjXnroZbpD+qhmkpIHAsQfGlpMDwRnHB9C5eYyRVm3CpO0zK
R98Lq7WTLRw+P3XdrW904xmm2HID5Gk8+gqyKy6mDEohWng6FPEx7jo6H50bykVxL9f5WHTjMipP
LpRo4qPdFuSCBZn4GhaOvGwb5d7mk+Vnq5rp0A6tovfOuVxcj4ii3vq066+jZoq+GCDm7nzUOM0m
MDt9hApqbAy/xoeXoXdhWs88csUc3L50DLs71EaVXFDTgbwbGHMs6StCXWek/JxKv8wu2673iIUc
dP061v0j3ftyg5tyUQZBmdllvmvtXWQI9zrgh4On4xRrlAGSKgCp5Ha5hHeUDWwLO8GJrubCPmoM
B3dZXDjXBE+oNYmiPB9ZVNyXRRdEMOPq9GgbUdxusggq/yrs3ZiNt8SN4I1xc+GUpK05/eAdKCzN
19Gbuze7yEGotLA/gQ7you2GYVZo55ELVasA5tnXCQngnqgh3mKQ/dEJShyCndo1Tl7VD4cMZ94p
1iiYQFPVsNY50UO6Ncwna3SvZ9D/93ZKos9YGOme3AlcNbPVjFw017kJJ5EA7HBopWPRIj20ztrX
ADHOc9m1zdbUMt16ReLv+b+8mmR4bBcK27bNcudMlDj5VoZuU7ZyM7oxKnxuuZ0WzapAUtlALHDk
dcTP8MlrAn0BQrHADki+2rspDMRjbREhZ6AAMDaQhMFjRW21XWDzjwWIj1NPU/BC2cyeAws53kCQ
Dn9Yz0ctwoQfkBP0TiorolPOABgTnJNnyu/Z4L1CdrD3bGCEv3p+kR91rVzedoByqzyuglukk9Oe
lYfCmojnh2Xm5iRF9mDJUjzKyuoOfZeWXwecrl/9xqzf4WPDuyX45NC38zOs2gcbw98Slqyco5LF
hXCGqxgJIEX/iOVqHJ1tglEo47WCn7w1+9GzEeAVWAVqtCRH12nZd/1EnRBF2Ye5LeOtVavpKTJ4
Ts1ZirNxMDrI+Y7/BlBR7gOMcsMa4wJl/ZyPFMoj0LYxlN+6DlSBJ3GSO1Amz6MaDx2UymA663Kj
uHWMXtyHnF/GdVSM7XufoKRe20njnudVzmrTB3Z8l5eDQ3As4RGrOEuynY5liWYULawXlwR7Gb5y
oo32aoe/tY9e0qjH9KLL+iTgLvL+wPAZ+9Q/Dp0bn+XMlpkuSATLuJdJSuM4ckV4cnjIwe9uBy9t
4JzPIwcnBlWYm6bj6HliHyk+fzRT/ZhRCUaMMyYPd10+wZq2i51tdfo5rCKIPD3AT/Krkw436MRb
W0+mwzE0xHRaFs0xTpsn5M0XszYxMkfttrd866VlIHtFp5PtsbxnRAKWRIAeuRVBjVV0iKL5W4wo
lzB79yFrc4rqjr19FmQGD3097F2zAjgR2uPeJIt+E6EBfyCAtwKrNLEUV3VfsyT17SaQorwptZ/B
wkXzb2xSwtruaU/M907ZleU6Md1uzXziHKczwmuo5el1mhfiAg4lKFE/cC7Q4IqbbqD9t5FtDdfE
055xBz3evrYB1nzHMOY3kAGGBfUAEzd0rogOkoc6SiiLjPwiQx4lmfxv6ibFMpSnGM+irmIVEZwx
xsbYZOrbBCYt3nnEbYGDm9J8PaAS2ZSIutsBHR4F4VkrSJUzO0yWzwX+HehH4H2sVZWLmJ5rcJkk
Wb5zsSjdaOVXTzxfbF4oc68G4PFnaZiXj8yfEFQSEm3go2Wf3Xu80U+zaoYvDnaoJ2xk6quDEnfd
mo08kmsfn9gJwnMn9Y01PFWLPLoUN63RUFTEwbGtY5q2gBJW3diFN1FcOreT6U/PNOpnPEVBdqxn
Se4k7V+C0Am8O7iMDWb2Uz0+opuCnZoXDK/pLmMAWty/aTRBPUEfhwLfG+9E55d7Qu4J0Ia8uiMg
JT5IMngw21LJTqk/bfvIGg/UkCYjwYIRNvlepn+t0rw8yqobccx2cpsIK/xSR1R+PZRKTKNdBW+x
9g5BmoakTUYTcUA+WWR8B8B5AZTDHkrlY9VPiwR9DIJ1HmW3AWFO+YqQxXnXLxuuS97a3rKSL6kx
ladENt0eziUFGXnHu07HnPmRTtyDN2+2iDxw1rNmgGqZ0nLh62nsZakxEPSJcRMmem6yYM/1QLJ3
x5vFVynWrZfxJ/o2I4Haz+2HKY8aNPyzfiuD3D6ECSuEv5gAm5bIKqOLskMukAm2OfoTy01ifxWD
R92QzTesg0RtAGahr7dAweQIP3MvxL7KmDoxjwGpMlbon9UZal2RQGPuihAZpAvFWZMCA89jor+r
iJmuvVvO5WvhpQPXNhuTlWP42UUIA3SdDb3e0CeYt9GoQo5JkeZsTsL4WegqzSXwreNQF9Y3JPAx
BUOTfw99eNz4MaOja0/GujJ8q8SsjiAiz+Pkm0iL5CmPZJ2SSiP8W2n0HkkATnrNWaU9kzhcj4Ay
6Swpp7EfYkP26zaIyqfMIYlelGlxBigehYUu40O5wH1MO0r3sq+rc4BQzaFh2leOkHbGWKcrIb0Z
VXls7XnD7C8tx7Xr1gDeip+w3kYZvY8Q/4hlBjbuhOSsEOo0NofJ5Xp2ufeEzWaN8tq9FTlO0HjQ
8QNJW/JYJWl6riOGKLQh1dEHKhLYztD9Zlgh/tVReIHoIbc3PWF6n8Y1Q5wL30fHBhwEppCSsfNW
Bz3In4oZsrfyas6/djoGxGDl0Hcx75GiHIalcYMZaXp19FzWAM0ZuE9kpiLOXPqV9HTAoHVgpkAE
hLMk8uCjw2kSGoAkYqRBOBWOe4rIGChXDSdE48+Z4P/kfjxyQ4R+3J9/35L/v3WX//ue/H//BX+2
5T39B5NtUnYYktACUou88C+yo/UHrV3GJcpi9Osuo99/gB29P+ibULgrmkee1IKJyz/Ajs4fTL1c
MpdtgVyS1O3/BOxI3/3nHg1J0KgbFSoiW8AjQajFv/+hP8WyWk6RCPsjyalBfOjmJrnSjerajU2U
HzF9Y5fGh4ylGwxUWYPqhSQGta/QoSApTsZbpqj1cQ5zRaqKmVB/9WPEfzZ2Ez3RJPSo1t1xqrdG
RoLUXDjeLle1MLf1YNrBJXyUDKaEnMonXHCLo8SKWCVxzga4aAMiF7aCX/DQDIHcWS1r3sot+y20
JVEvWSmv5TwlyDsqSZVmsFvDDReBy15F6PuNZ4GYPYxF3c9rMZqTOFQjs1IMKPCzsJb09MNF1fuI
NUoCmie0/Bc5QxQ01yNYJJx/WpIEOZSKBbDCiWwzG/weRmYxbwk29NqNlIa8zQGrpXsPZP5jJTGh
QKj3pzfbMdrrMkaO04xZ3q3duGRhsWvZv4RxMx4BgSKIyUoneiL8pAFai6Qd2rBp0htxFtOO+DBj
5CvEp9C7XRYRjMto3u9bR0yP1hC49ANmQZyCMIvoIFzdUcDO4GVWcooztS0bbV+IDLriMM7GmZ2B
2a1mGc2XdpR1QBMoZPE8yKkKdtIrbe9r3+bVcSKwySInA3XGGq6IqPbTaBl04VLyoqJj1WDwv3KX
65KgQLART8WpDmE5E3+Srug2UoJyrHwUDXEbzUSTF/fWsWsBULbU01v+GnmGb5gNP3HBq1vjSBJK
hmDRugq0G/TL6Yl6ZiAg1PJxdOAXGW/byPxOa2givpGO3NAI/1gYpDcYJVbNurIEspgGbSFG8UtP
65C5CPa2aZbtjmjBKV8FCv0C/NtBbmx4NHe9Nx5R1VrlWhu+dyIlAu1W7N81sRtc2mn/VZQ2WH8n
P695PtYMor/BXFh6g8dhDPK9kZrZXjU40oHdR1t7bvOLQNj5yeGxuc2QLx5x9Cfr2MaViJLF3WcY
WlZeUZ46pzoPyd9ao7ggjMaH+22ZzYUr4U/mfYZ+LBywmBP38g07fbonFCj7GhH+cNnbCXCmXsTr
wCsm0j3DbqVIV7lK3FID3+qKW5BAxWWdj1geEjVvZ0y78WoMTf9LkI53SVuCBGyT4AjjHcqe1rA0
nJD+v4fEQo+2QdGGfdWK7buKBg2BukG/Rkbl7xwfqr4kPWZl0XJc9b63jqy2u6hIc+Y0C1VgGyNZ
uk/D8rrH1d9jUmCDQhq2rrGHXPkhPhcqlrZeq8jeqIxzqxL7vqrXwdTfStNC/KyNOyxq710XXSeD
1dL0t8hsadsWg1mjr9qWtyxwOQKGi0uhGpP8kZFjyWJko9Pk+Z8yArcz/1tqhXuAed41gBzznbqY
J71YKnDdrSymeeismT7WgPZ13p51GeS/ajC48yUVikHahrHC58NMiW5q4CskFnZq4C5t9Q7FdENk
B7zqvMnSNUUhZjqtGUpNan4ku9QCIOfPRKjKam+TnHnhUodh/zWGuwSPl9P68SlVmWYMkfa035i9
uXKkKIa7AeotaraWJpaidLL5cm7J5t1MGZ7Q0KIuTHqj7zZOjKR+LWUOzwuxIQFMvpge6LFAyrL9
4dLzknLrJED/vFCpt7aqv5eVbQOxdSt6lhA0Qmvwtq0FbpEE0OxakXIF3LUROHjt5LVgRrGDWABi
KxhUTllnEo3YU6jxJCxMBvxJEH8q9+vgiYBwc8B4v6manA9lzw8TBMgaJrprG1yIKSQSrKWs+mF3
KjD+hHFohkdXNJweUWZnkF6jYrpq8sz+MhStZI0rEEwNNlKoVU6Mw31eGdO2pqf8rWMkC6+3GCxr
m7Sg7wzh+CYeL+7+Grcq29RgDhospIYduRVU6lj5EJUcVZe5w9Uo0xqnE7nGD41jJ7eTNunjIG91
enVWYsq8mOcuuQ7dkCWqKjkpmDGY3nUr2ubVsIXhoI9yvmK7YzAI1MleaW0oCJAVf/vCJhsuPD9p
jsMAJ5L2QH6GK3LcpSE2whmv6kGN0PjRnQwQirqZ4SC69cDzMdfERokfwYhXNe5FvmOf1kSWKrGy
DBXv9Mi+1bqFC5WVsBZnIC3l4Dq1gY+ntwYgdWjRqD5JCcPbbk4qO9cywvMIM3Zldr3xDop/OjWN
kMeUUJZ5XUvTuE0SB2YxwIyrbGrs68YOgzvQmtsZec8uikqFMGUG4NrHVnHFfF6t3Q6vvWod9TU3
ShusictJlkDcHZ1VksjMqd2WJpJ0G+1MqNwFk/icx9NZ77UvkGT2XViilm3oypbxa9/Xt55huec0
r3GzGnO9wcnV3EJFI5+s4MJRb9DINWkFFQOMmpzp/ItVKQg/qRxXUItOQGVQPXXRZUgfZYUzyrkG
6XLQ0ldHtpVkbbZO+kAbpPBJTLBJ69Ed/aypbPptSdjGysvq/DGe6MaaonwdBzBbdS09Uk28/GDx
bF5VurLuokC96UKOt0XIm2cPXXfZtPCod4YbNpzcZ+VDS+osGZzyPvAAjEyyfEylA5vPTbQnaVz1
6hIvXC9YlJUav3rzaKGsZdTxMgkneWoxFc932JwETslSI6t3vKB6suwgvHTL1r6k1+q8Ip/QeNX6
zt4Gyjb+i7oz2Y0dWbfzq9yRR2aBDDLYwIYH2Wcq1feaEGq2gn0bbJ/eH1V17arCuef6TAwbKFSh
oC1tKcWM+Ju1vvXRR2Ct1jnT1nVhaWIWDJPxVeThA8hJbLFtQ3/aGcm4qQjye0FzTNi2Suc9lN0e
Ck0nL70xakhq70ALsFZQb7hl1Z3paOeSoT0VQQ0uVHcQYl1njLeuCxa1ThEdOLGNUM7jUOI6GZV1
GMw6O8X4NAS/TSsyV21mpHdDUQ/DmkUzzEKzYSC8JolCY2ql4Gi3HHagA9NxrDaKE6tajezS6vVi
/7zKtQp4OUXCtQ+KZmsVRn0HdAwmt2k5v7rS7Q6UXhrVto2C0q7YZoElJRFthLtyqKZg5vTzY0an
Q2cVT7Cc0st0Su0rQtp6gNpB8IJe1XqI8eLv6iZUd7ORUvLYZlPc822kD9Y889utY66mGZrByfWH
/iKqHfYMEgTSOUozgvyaoAYmDKFxKxrxOlUFw2fPgrhlTmnymunYe5nC4buvOoN8D6vvCWopdmKK
uboGmTD2TqfxrbEnou1D1HcY9woS11sz6u8ttiwvpANhGRJ5TxCCagUhT3T884FFhf02p7W54VLC
sKzj5C62wuC9auvxwXLG4pxAXYeoWIiWuoR4VBhzJrZxBA9MMJaVLfqK2f3sXIe+3egYTNuALMYt
zvGOexVezbB2Rj29sdUxQClVOVA40gaCFYLx9MJwkvrSYX/KLFf0X2bezKTA6NZ/RlHT4HAMhGFf
lLgq6TSEqV5EB+B3lVVjnK8ro2ncFRI98boknN/LgSCoAVwj3s5arf0WNu6mdcIiWEt4RvZq6HHd
cui13cacENttyhCTNDO+QbyBi5pghTpD9EGoEZIREr/7y4p8XwBaITbPLPXI8PGpsU2rStXFNHK8
7OxBe19wma1zSE7ciVilJt1DG5mfCFsT1dbSVnuQCvNsgfrwBma3/1GOlgbWQwtFjIuxNE8pwr8m
ULwJsQPEvOVrnpF1owr3PPeVdYwhmdD/jDnTQa0VVgVyO9WNhrH2oM3YuJ6SkcPeMyMAFOOcGd9w
k/F5tznzH/DOprwiPcSlXcjs/pK5OENFtoUfyoBpvOORr39NWhGmXSPuXJcQrF6KMVYBenIP3CP9
xreIF218rrJ6m+uYSW8deyOLsD5ldJSk9ZOVJ/OA44EkjYyNGml0oT9sg9SfcNwa7QheL5r1Rdsk
wXWCPfWO16e4GrRF1em2zWteD9aWrPGi2CBYEHAj45r5EGsyZKW+7sggM2BuW2oYj41jDHtCf5Jh
k0hpJRCvSp7HBKHJNeSR+LqDg3aoDRtc6+Ao+9CQoIIAzMvQ37Mk12IdxY5XbopGExdSoOFB3uo9
WoY1fdDHwBdl2eHAEygmZnZ5GDdXzTRO1jrWwXgzNcOLMM373tD1A+Ep8GSJsSmvu8w0yxt8XdGh
n4V8d2cDTnc3ZfoqVmI81vBDt9Uo2peuttvvUZl+vkHp5N+XJkSVmWzIp4ntMIvU3gOK34BNAS3h
RxckExeEqBSVcanKQEh0O0ZxjFSCjAf2yGPTu+I0FTY0CIy3ZrIPOqOn1W784YoBYnPtscNbZVE9
37kx0ahINFr2dL3/6lnmeM8WeEkgHY3wSKvkqp012qBvqDebna6nfDN3PJ1rIabSu66hDfIGYvCx
nv1+2pv1YL/3mOlQLJnllYngdMV0fFr0Rs4CnneQ9G2jtsH6E9SEoxoNar44k8OnRzzhF9QOmA1d
4pMlGHf9UrFyTrzTzvarjhaeIaZ0601fLLGVoxxYTcPXfVJDksHzZQjNhDuoEnppZMrtBg4b5W/N
Gxunbw/02fD8+pjMnX5wgFtawIjHktIMbir0TTwXK8Jm60vfcMZ9VrsE2/jd+FKV2Iquc/ipPMPN
cm5WMTlUWGk4j2o96vymShuqgJ5OON6PtTNRX3jlvCzYKkLyIlFubaCYPMxZwDy91grM8mxfgCJJ
za1fjzPrYFL10BU3fnPRJhkKLhuqxHQaMkLWjtD7mmiLxmF6qwLKNpM0qsexDupfMh38I4D14lmy
w38Kir6bVr0wh/1gGiB8LAfUsjt2x6mARwcop/tOrQFma2g7SJzjvMiAKkI7RR0ctjs9SmPPlVRv
gpQpe2/SjOUC4cOkGKYga/DkJ5btFqR2UMmHObCybSFoIhW7RI8F126CvrMt2mC+78fJvMqYzmxQ
JMFXRG05rXHRl3etG4SfJRvtVSwbqDUmKrmNalsiAktt0C9qO76bGUrt2jHKnp3A6K+y1Bkfysor
jrSOJJ7zWpvXsTf4m6Cowss2M+Wp5w3/MGlK/8bIpoPyRmhqcDm+S/jx11I0EmHXTCWcOCcw6/Zx
tEL9onTvXOAnJ2hsZjsRSbs7QlQt4AzCOxIpYlRP3lOTN7eDNwKeVco5R4ToHSCzu68mv7kPaCj4
Rnu25D2T7004W+m56or4pvUmBu8BVLo2R4YIxwPiQyjUNwFVj+FoLBjVapsjVNxT22Fjoc/cTrZs
zrrSr0hLin2dtgMI2KDZRmWdYrIIKE9nnzApzWA9qoajbONPfMrhMq0AydQkYEhhBg9SdCcRhfEB
uEB2EfqIS3URxWtljRk77KG4nJ2acGK23ct2oD1AxNcHnSTextAwIPl52p0XO1BzAnyhXJ5/Go7+
AyGY9TevAl2cg68eRTKWXIKc3b+ZxQyO32LgIDmynBSUnUuV5tugpsjEhNQseYSm9WIVAoFkVzuI
895xQC81/mffyN81yHwnnms5cpmt8h/7705F4tTrMYeIc5waFw5Yqz+iwB7mW0CkQXvtEyfo3qRm
6tnbbM6Hu34q6f/YL2trO/W8v9EoPeGokMzJiC0kZzQBOcZWVOb1uytnz9k4rSGfay2yG7DdvPKu
nb34tTEzllgGcixirA+vGIsCXU5UPzP+MHaj1va96Afjs4mAc6Sdrx490+68VVSr+EXHcG444pzL
wIwZCvi9+ew3igcljsbbunRx+DGJDVCqkRPgAAja2BPxBcw41fVQEpOo/UbfeV4+XRjjaF92meI6
LGS2s8fsRdileYu27OQNFtDqZWjpLeNLEliZZPaj5oQ0jFREW0au8g5JDmNP9TMC9aQwv6ufwahw
au/L813/BpVRczer2XoGb4sfpU6p8rHWUbCPWnZioxRpA3GXjY9BZPOcZj/VPcBCKv3gp+rHRU0H
gK1w+pRFw9lp9v518tMnWLq0D+HIjabbmsW4/dNOME1y32Pcm3DNAv9ohOJRoW48VmOj2NDzwqfz
BDo+CUpkhUvPwq6Q9sVfOpl86Wncpbvxlz4njEYdbf2Z+zkpp2CVsLL/tJfeyF+6JOAxiI2qXO5F
3TCjXCaia04T4yP7abLInEM8vHRewdKDiaUbm1hFvtZmRIvGLId2rQoiMd+7sk1fpciqd+nNuEyL
CSzQM7mavEiyzOSVnukv94PjMgtnkF69kGvmFl9GxC5yG8lOfWu7K+ubf/5+FT9D/7+MXaDfsZUQ
krWaY+Ey/uvYpSvcBNwt10lMrXVZGaM6lwPq6LYhNKzITf9Y+00+QDkvQwS35bWfEfYRjYtsxXCH
8eRqVTNNmyGOMQEoIMtBWbuj6ymLjcOc9KXJe7b7Krbre2eoydYTicMMECW+643XeRZeD9mAcmLJ
tTtbGMA0C4Ux/CwM4jbduHKPrHnTWxGA0apHNzlhYrjHgU9uS3gTZKN1VqFCAmGHO3aC97zH7SsT
bAqNWbB2DQfRphebEsKSnDuubGi7hyiuZb/SLgUqd4d56Csvu3HdxLyxS6t3tiV8ywcLft1e9UQp
qLGDm13ai9eTtq294nCpb3zS1HctlYzeSGbLA4HRSMq3cszS01ybeQ0UG6kaDXhVfHldWy8Fc0ch
KfWNCHqCqRRAmtImDNiRM8FBMPBgr2Re+BqxVXgd5YQtdchLTKAaOR/WNwNaYeh47CwSvSNxhLRW
X/KWc9zB5edrXGhUKPq/kHMHXF+dGQJsdwvs9G2AMjsSTV6gy+wDgl+JjAl79s+55YR7TZTEFrOG
cTcyGWFSAEEQYlx/yhJ/WAsztq4YLc48lRSdWUL6QorNguhTVul8Ob22DL+4IxrXJ6tKVvUj8SK8
A5Ttr3roO/WyyQF623VcabPsd5NX61dAaPEDZlzxVJODdwjN2YzWZV9zNI1Dcju3Wm2a3LEvJKfU
mtQ0vS3ZNWDBjrwbL7KSx4I8T07RKCCk2ueVOcW2iVwrx/l2ntLZ3ANAJAeK7E/7XOXlfRAM1a7P
GFAQzMVNNEetc+sajbocQJGSUdSYhI0AnQffTJ4t2sdqWSJZP/skSy9qo/Bnz2QuK6eGqe68VtWy
iQrbjK0UxMck3bqF+LB+tlYB+yvxs8lqMVaDERu8p+xn01Wg/iJIKR7oPmNOb9wPblq9KqZ78YE8
NEtdzVVlmdvlHvtyumFs6L6FD7R32bYlZT+wx25G/k1nYLuX8dA1xyabk+0wSOtYi1pTV9cOzXUX
zIyadABk/JD4LqK+iQGG3DSxVV7YnU09QVIxM91xGe+m0nqp/Ur6K01ERAC+t1neICCbJ3KIUYvN
83HsA29XWXAX+a7bnWTRejFGrIhao5QH4Lrt+z8/qBYP5l+PKYvCgkPKwYtu2c6y2/zTdNhkMp8y
EvWOgZJXKriu0+Zc9bc/f8m/tOK+jD+bsi2/9X9fPu2zrCZcnJH+sUP97/97KHP++fsf+ctntP/j
58MgSzfv+v0v/7P9we3cdr+a6e5X22W/f/U//uT/6Qf/QLM+/CeBhRKi2J9e6uV7+eMzr95zog5P
73ne/dt/ec+r//ZvF+9tlMfNX2xnv3/+H7Yz9zcczLj+PMTd1FTLhvn3/bZn/wa+ldoPCz7/cX2u
kX+3ncnfLKzlLL2xmAVkJ2Im/nfb2ZJ36AoLu5pjgzLAJ/Yv2M4c968PiQFgDKuoiaH9rw9HITpl
dRil9nkIZswwcJmsItOZV+ji+6vKSd1yG4RhDZHEGCC3dK2Tbk2jrpnz9GwWlap3U+TJK7eA62Hy
mG+yqBsPGQiwraFDPBiVoaxyx3qr552O1mkIbajVJehcmil7lbEOfR4XRZ+HEHvbUgAQU9PU11Yn
0mfVhBjevJJ8z0UTOADSvwhUEByLeUBot2gH8yJqTlgGnBXOuvidmCP3gswsL96EP9LDdlEh+ose
MV2Uif3UE6tcLXLFYVEulj8iRs9nYD535AstI3L9i/0qgkecN+JBLypIPdXxdFHXfXwxNcSnV2I0
dqEPImZCQukkM+GKPq0lKUpEBDOYS7n3ReXsy0WBmcm0X2gT4qJefK1jW8yvkPWSLRp5+2AtOs7U
i6aHLmUJedGqllld8LvyE/b5AhXL5WXRkD8YCVJiSmMIL2TiVR8OkE9KvMrY+Ir87ORHZ7ooTklp
SJ89OVXPKg66g7koUz1kr97alBGIx0XBOqO612tgLc1nZ3fhye4sV+yReqbmCkuMPA5GD6VQJLHx
YBi5N9IheRgCibgIvjEdzYeMmeaiyzOaC5dE2HejinHmCqcP2AxqvY3NzKT/w4i/iquoUqStN3oL
U5OlAzaELQA4azNnLrSH5U/a7OtJTow7cecKAK/1wG9hIxq7ekpjMLvcU3WlHlt7oArNewEnZHZb
ghfYMHMXOKmvrnMXM3mQ19GNFMgnraoJI37d5cDlajQlgMoumm6IWSArEo/M1uFLipuGb/G9S0bQ
odIA/ltMtUQSbsBGLxhE7ULouACm+FuOkWNMu5wV4/dUuXxPLXhbeKFWFDBz4lFhNDHU4s5z2/Ad
zVHqs5o1+NdoCbwrManFUTAFiE1rq2A4qtmQeGVzWwoBBWUOKivedTNwSgEL9C52MvUNc5hIk7Bk
fCJicIiSTJJixc5Nc40NM/Vf4Gddx/1kmF/4I6b3GY32o81fKzegy+1vE+07b2m1zDJIQMSu7dH1
LVvaFv0GvAzd4/kqfBtevVP5Kz8TZUmKmHQOgWQ6vhMMi5ybKCa2d4P4TBVbJqvu4kfrIohFfiPv
CbtOB2ZNRo4eXbaFgNVQ+2jSxs78NUx1eTQ0rH7M17NqECoW3gJvDOXJmpihULsFwR3tz6cw8cRA
eWe2UszZAWaCvhuVxAPWKYIJSCa54UXBOWD51fg0GgmhoTb6uxy2yLGaQr1vMF4Ai3I1cetpIPBd
tuy67TkS9iLx4/dE4qImk2ZGPSa5xPrV5AYdxRE7kgO1GTYsUcFF7qvgVyNY7tOSGWwTvTj6iOdk
+FBh0u/cOpwoNNRwE5N6ctKsB2+SQEo2wWwQIZ5Zk/NmNJNNE+bZFI/5bJbnjF8SmpVSvfFF8gNr
W/OmTSwQlE7wBtey2iIiWsbbaGn9rpEQqf3srJmCvPlAnRLEaypeeW2C/1OHNDgVK5w1OMi0X1up
FaPsQOh4hNhaAtWKq2xD3AC/Ne2J8MwwA3KGywozaliQbcfKD8+ypW5eN8bSf9aN11YLIdd8x1MZ
PLo2Yg8Im8FdOWe3U1GgxKRFXfWOX+yk4SMXGWVXPbiyDy7yivGZcpz4sxSRc+qQMKBc78y9vTjP
+oRFFcMZkrzmMj2I2JCbTEYDLP6aqLsBgWK5nOnFBFu31mSsu2p0XjMSyVCBR06zl9hO4QJn8ZXB
uXeZm651HbRGs0gc+o1ZNu2d5Jy/qVUfMsEu/XHdd2m9d4fIuXE7h7VTC7fLIuQT02Sc9tvOF8HF
nI/JgVyZ+NAVcgAvo4wTnScrnUEUJXJn/MabasiTJayXQbVFm8SGIGgPSZrHdzn6TIQu+pZKkSh2
TktkLAELmlfu7eCibFI06VJO7u1sYoRFgzLU6zow8xOYpKm4xr09YiEoo++E2Nk7tMXhg6hgivPu
wIugyNLF89c4V5YSzTv4KvcZiS1MMHP21xTN+cEhLdVbBYVlkGkB8I2iePBu89H2zlkzu5vMnodz
3xgOqPDIwyCVWOFJKZZ6s6kG6KNxvFPRbB+10SuY55bWO89Isjvptfk2jkPM03MVNb+weMTRlWBF
BhHNtnD10ieQh5GWEvXOOJ6jmMmfmtj/TiCRzrOf96+iVckOJyMaKW6xPSkb5XLG+8QDwYRI2ds5
BQZlu7qC4OMRSB7U4pfdl2Sq+By/iyoAh5tPZEbd+e1nCL9iZc2F2PVMOk6zP3e/cnw5u9Jq+/tG
cQ2RKidTRh7KP7HvSt9JanFAzVGgX6sUjvQa3lS8qyGorFXj2seuc1h7t5XXXTDcsS76HC8sC99u
j7Ap3k9OyUln8DnH2FLYSetwvEn8yN3rGZ1566IUUUrXj+FQAFzhOlmrYgoPKeP0u0E2WIT90Hto
k6C/ifoBt0Y+cV9T6F74hnuFab04tr3hUAy0GLaJNfTObFjVx79eof/j2vsvxfp/WMT/v1ihL9iZ
f1ahX/wiloV26ddP1/ATxfD7p/xRlHuU3kD44S34Pg+XRX39R1Hu/Obj/fE5Qhbm0k/ewh9FuSUg
avrwIRzuSA+8HD3CH0W5/5twiP1eohj4Wp4AE/EvFOXC/dtEGClP4Eqgk+zMINjY7t+K86BLjCFN
0XUhKF/24FwqjCQAa+MJ6s5FwqQa5b+4cDlRD2Zu6yOFM6m/fh5UKNoN/ewM4NzQ6kTJi1s1QJRN
syiPWWi57CBQFXrc4LrYYdnyrxGYuP6xd90hPjeyLj+deUHkFaxbTh1i6WbdleyhdspB2LR2MIyQ
X20EJraCuFqSPOk/2YRm6quokKsipPdde+PbSTOsNI5t5HQ9CsaLwUg9ZhycdkT1EtwoZ3BIc1s3
HZ59032u50E8h4S9I5Q0husScxOO8Lk1QFyZ6tRbvtut4jRih0nZE5yElc5XbTEU44oFK97P3imc
/iQo/EyudCyAJ3eKxL1ZDJ3cpbTlGZSIuV6EsxbI8AFdFfO2NBrD68gDu7+V0Ux4LZQLJC0tttTh
2u1zrz0L1yF+VYTI+dcV6wEmz4nF/hBbdmNCL8orSlbCpwSwUtxv8dScyykxJWQKTOVrKJwyWjlD
Mt0Ps2DhH6YijnZajxmqvRh63mbg2IGGgGL0k+jpuaIQ6rIFb5XyFzh4uF7MmOiyFCHmgd+M82D6
SX+YQiqRkCnsDaQiqOhxkDTjlvV2+ShsmzNlTvIx3LuqSU/MPYjppIYbn8wq9W5RObif5uhzOXdu
J8GJdCMvjY84OF8NiUu0pGzFc93F3bOvpIONG264v/ZNiH/LYIkdEFG/906U1+gS/BpVUaVpFo/I
G6IJpL8a8fDzN2ykNvt823W2fQfbu2T9X8e3be6w2ewtpP6WGeHDrCMxESMdiOEKC3tEt2dnG0Vr
8sshz1StwlnCJWD8NvIShHNwdHojgTgkYxFuUExY/DnLfas9epoVQWd2uiajlIwkN3cqZzdglpYH
0u7mcDV1OGc2aDTmftP1nfdaQz4hOdte4uAZbacbimHiXhnpIJE1yfj8ZjM2ssObZRGuYxMp8BpW
N6NNpkvdLmQQw11nFyRK9yPmMKQTAyIcfrDVwM7KImN6qtDWCt2cUYOmX8SHKvPo5+hX4AR2zcbN
krIAYOJEPhtGW+fM3WJ/03odhphVn+XCEKvWaZKnag6uMq+jQemawUN9wRLywhR1wOPoHrIJIszB
bM3kqRCDuXeKad6yvZrPKiDidYp6satHEdYwnQZvuJyCQlu3VhOXT82AV7Fv6Uslg7J1YGMuPDkB
MVcqSrZkJk/9PgmtdmYRz5NSp4m8RC6JvE77Sza3CuAroLM04urDJpTgLHqcvmuA+3l3MgTZdk9M
Q8Ba19PUm8RYTKOb7qgTFxUhUHL21nmSxh+hURPXx5T9g3THGlcjd2x0HDCZzddxmlnT2uIt0+0C
WWHBHnzEJBMbb237Rxdr7Hxtq26aLw3DSJ70pL0UwjqblV03OhMaIhmJDsi3njjmid+KfGMBsuAi
ZbjxXo7VRdH6xDeaFP8TyC+Td9K6kh12MCn5aVf/VVbBZHZVBwshH6ubVvR6b1XkWfzfvbf/crv/
/4R8ApmNoeM/9pdcvn9F0/u//SPg0++f+vsl74vffElMJIINgVCWQc6fLnnTYuNqOj7LG/Y4/2vw
JtzffsoByHELtchbKMx/3PHC+g0oDltqOHu2XGjb/8odb4nlS/15PLsgP1yXwQpiDQ8AilyAUH8a
z8YWbsE5ndvdCGLG2ZiNQo/dNtE1zy2AbKmtZx8TBUIoZhDn2J4G6wQSRR/9IcZ364j4uqnxx8JP
mJwvqIjBw1zoAG9dqYR7Bo3SRU8KLiAqeKP0n2AGC04mITajYaMlNLO72rHHR49g67WOuv66Ksyn
mRsERFwxPMSyyh/UXBRfnfTs68bMk4PgXDy5pIoeG5V3Nzk6rXZFEQU7pM10Xq3riF2uFuTrRvAk
ONx0gUbMtAZz3XT+dBt0YU8UR+xmJRd1fVeMSLjvkKFhk3ejOb+vqPj7TRI3/X1ulWRjzM5g8fbG
jcbl5CxWHKEypDw2GpQvw/BRekx1QZKMnXNQnNEdBcGpD4XnbScM/s3tNKXVF8obVCkqGNP+ybBU
8FXO8/gxW4AeDoLFG1gYjwtDJYPh7mJSIrON4WITvJaIJobTbMierHNPg3bkvntj9Ws9lC7KSJvt
zq1wJtAkSXKMqOZoIo2oMvcER7kfDBmc/mi7jMxXddjUpDlHrslIZqyAEPVNubMShcScGyRF0DCZ
Dw567dcuc9RXVxvN52i23hWI3snbtn6tQVChJVnLvBou0CjrfQE/0F+lssn3vCqOtdaSLIysrftg
VccVuLmeiaSytDojz8/Tt5mH444ALINj2yzMk4HPkQlZhrFzVojjqhB9Ghw7Fa+rbpH5Ebe56Wzu
JumkQuwh7nkno0rU2SnSzy7naWEfjWonJvB3PeOSuvdZQuEYnVNERfzcnR+668SYrYghwVi+myVp
923c2d8qy/1nQEw85Ng7UvstqjyXiWGGoaIbP2wYjsQD98YBNZ9C4oIZ1kSAGG10HsQXrs7vlkZt
RNcenem05a3nyeC1abL4Ug1x626zaY72tfb8zwa3EGYV08heKIGQYhpCwltxY5S2sEIFOQqdWUQE
SQIj89dmlCXVqS1sY+/5c82KkHnEmQCleJMUxR2WenMboysCuJ2gl6UeeMgcp39tHBI8zarneWf0
JqN137ekhDMv9u2DGebzO9FfXfTcmSWr/XiMMG8WEUtUpI/GMBxNZuEAbLoZLFqZm3FxtFCn4nQI
+uilHeIR7Z+ldLkrCRIaz/XEPGITpYtT1vSFHe0Y3IsawuZgXbfsqjw8Eo37apPHBDjBV2hjSIHt
nGcCJGrjSjpt1OyIioq6HXNKSzLka8WEqWew5W5A4WdukpFfNF6bQqa814UqxivEDKq7hIwCGMSq
E5Pws4A/dRf5A+rHycOI8Kx5unzsKhm4xVAZsL/iAYzcukBFzFPGCO5Awoh+ILJRHjH0qfo+bcvJ
38YGW7dfQz9V5x4oBG9s7nkk3LOF8JxvlKzlMkl/ESeNGMgOwwYpWkrCCEBeD/+MZaLmJLfEoFYn
EYoBUT5n302Q1CyV7UFtWQ6k7ZEnk6F9xbpgZQWNc9v0cXFVFFJ+uQbq3gMLnSA+dY5sPuwgawi5
idJ6ySah7I/5EIfEKB4L9jOPtcOAj2GI5eyYoqqDNCvUthF+I0qGmAy1eXEywqxly8zelSyyFQek
R7xp0tXlmh8x31hE7Bp8kO0JWpAUi19SNMNrz2z2sk9l8VwSiENdLofpqhtEeioaOxhXDSxP9rtC
Gcu2mihkSw+XfVAHN8yA6Rf9JMJ8RiT1rRyBWTkRRFjmvRFTRy0Z2aSFIs+9FgEoZlQB6F2n+ELj
7mMD0tQPUHvsZxbDw85CTI3eOXCPXTywHs25IvPtaJjgSBTYZdsQY7JVsUGGHR1EtzenLjhXCNnW
eO9RTIPJYInhFNW1ocvu3WRq9BaDMH5qIys9uviqd7CGwjtuy9jf15bXPmCxGj9qHTtfIrCGhwFJ
xa6XxX3AsYSisvaCdhv15X3SOYSatnNUnWqAd+aeJl4dQNug2mt7Jk84suO1dHRvryVVZrTzs57Y
NrbPrwqPf73p2qK9SN3J/w4QvpBwjvodNrZ5SLBTvaEMQqhR0q4PB5MR85awU3+TYfE+5HlPtHaT
DFcSuFy5bLesZDdZ/MD4gaxfFSmH5w55d7QWBUSX85Tbc4VQZC4f62zIPOTp6KrxtFXOsXK6/oII
RjJwSqbuiPRNHb9Jw3Bu0TPal0mdBtdFw4qJvZD/ydXcnAHAta9JL5l7D8xnT8wP1UWO9Jjvhant
nbTH5i6PoSSuNNuZa74X/QbqxHxKrdZlrABo7g5pY4SWZaqwELnIDb3kl+uL7BFbNZvxMI/1Fb+9
4hWtwUzIgAbS1GCNKIUDy6Ksvnom0TcRarwrKpeRIWiRv0wWQ4oaTUR0LEqHUYTVNQRLlz3vN0x0
G8uM3VuTZT0+xC6Ybq3OmKt76E3GSThl8yYsFPtb5XRLMFqJIWiDAX8x+rio0ty6d95a5BG3I+pS
+8hmK30pB6XU9eTojDdj4hQf5dDqT0xpPYMKPK4Gfp1wSnhVkTbA6u09wiqnFvuozLxT5WsDs4AE
ib+aIibca74ah5lpeF6/acoYEo2o+WAaannrJHAO5NByMvPLtdhGtGQia00q2ZrPzgFhKLRdFQl4
+2ke9LcsA3qJFO/v3rSj7lsOuj8CMqrOWFm9k6Rnuk3Lsp+RWWIvJZW2Tx4zOCv7qM7bizgKzb3p
hqBqGo8vRL9GwBWxAtE6cFsum4kXp117eN8YmUR8cCFzBIcmyVtSrIk1f6+DInG29WhP7/FkhJ+6
HT2HWUEPW0j5Dh4JMU5RemPBCkQDmtDOCz69ICAA/N+KMUiBgsCf7yhMow1ieIGEJvZVtSm7bOZh
BT6yF0FSvgVpl/N+IyJ9R7eNrTBMoURqtlmvRaldtWY+Urynk5QXTggd2GYPve3Dpmso8IzwAkOV
JVeVJdOjx7e0ZXY7T+sEvNqz9lX9yTalnlZ2yfI5jiRA44DhGPGK03hu2qp4KAPgaKumKeVV6ZPr
Cfwxbo8FcFJ7KxxV3nDqT5um8YL5QLFTEotthuqRzLDl3Bk4JlukRowNAlTwTUjRtMEkU+Rre5zq
Nz9OuGoIDp2vm7yWDojMsXvXupRbD/NMySA4Ta/tWBBq4Q053s5ockzYCxl7VN1YNJIthJ9HNevg
gR1k6qMDCuareIrMQ1GORb8ZvdF5MQPZR/cYxoOb2onsjAW57X9pakuN6xyp0K7lZr4p1CRPEfoy
cxXn2j/YJQ6lNUtlemLFa3YwY5CdEjlwy4C/8W7ZY+HL9ItB3JOvU20qV3VPGBHie0II/JthUtRt
kazb20xoVEdmAG6FksQwSePTvTvRqiv3vneD+DrpZ5ciz0+na7xg6ScjH/uurjioDy4CVqK6DOlu
ZS+NL048fHdZ62LT8ZNf3oTekVJIPjLOKYlENw33zuwGF1RM4sVrpI/4LmvMI/+TvTNbjhtJs/Sr
9AsgDasDuA0AsTO4b7qBUSSFfXHswNPPB7UmU6nMqu60uZk269uqpMiIQLj/yznf2RAC4BIQXtmv
GQuIm0JtlK8VRLF7dY6b5KS3XXEqh9n+5jpqUp9h/+FNW1qr+GD91D0t4zTv8yUfTnZtZWwxUTdB
tbaHtNwKAlBnH/MG0gME8mI/y1R5FNGcD0He1u1O7azuVMAO8ew5UZHsWbURaHPf9F6p5/lRzYox
9sx8mJ8Xh1ltFafEI9izLW0mosm0zbSqPpMSYGe+EiVNMJZRciIvTj1oRf8yqR2kp6hKyITDQpCU
uvwSVuraTAnIeTETjQTUI3dXZN4mDHsCa9bZ1CTzWG1UDq+NocRPeqY5WAtIKeUpZCLVut8q29xj
yWwOEzq/QJKZvjUJYtk5APrIr5vDz1Cp22tTrzj/ZgBVm2aiO4RIuasKAIEjJQLTrmkQCIeq6mYq
rfgg07rdarOCj68F7yMju38fsUvf2spMZAXhojgq4N08rF7YLc6udj/mbvSFcqb1Kje+S0qO5rbn
D50XQg1HJkgbe6hC0IqQI2u3ISAo6ttzr0fc1MBP/TEZ3+keOijx0FiwhxYZCZ1j95FJJk5BOuZk
+qWEsaZSJ2ewlKI7jjwgnqLMzamRsF3MKkuPLujKt8WRHws2EXoaM1yvU7qxOi6BT85Nc5wVfWGx
E4Fxj/Fh8x4b6pWbWGWAysXwJMmCG5gk+jYhp/O2K9TZ8eQ0IYCQWXcmVpiZrYJjznesRr22Fgst
oZKKs1GFDzz2t4Jo1GHqn9jJsci2kQc4Vr6wus1gj2A1BknQDp6bRWSpyCWNr2JSNDHHz33+VBlT
/KxGwoXbVTAEd0v5KNRuekvqbLoRi46UTyUJ9WpehL0X+mgeqpD0np06taBN1HRaXoWuXmd121xn
jEN3Ydvte9DtVIA9mgLMHz1L6Cb0QB5ZL6zeBsgR7VUR5/LU5mnhS03NF44YI/qqu6HKenKa2FNP
1XbuZ4fwYmU5DZXbrrPb/r6I+d2YWS2fsJl+K3NsUjyiIGSKpdAvBESND51Nbc6Au8NhkivdqwxJ
Oe00fQjKAuYum+/2q1Mm0TZ37elkueF4H0ZWTp/TqVsodNxuyKO2hqKJZ6eUJCHCQ4wGf4BmoQZU
Izdg423cWYOE51b1WhEAqUDCikmvhPtIPh5XuCZjD7wkFMROMeovXUHx5MdwE76R2NPZUP4m1sma
XpZ0Jh0hBh23yUejKwA28V1O+3RJyi9T1DCe6A09DxGPpHV0U6S1+hQmQ0X5nRHLnRr6Fz1WxLWO
S+ejTZVK22RmjsW/5nM49HQ3WwGelNCVZUqeMjmNCLIdqMv3dd2W5X6KpIPFVnR14ORyeRni2jrY
TIAOE0xS+oXJKG80oPpivw5I3iJL0YIhWxh/msMkBs8wITICmOiUe62d0WOMg+lxv9T3cW53bzpM
zI3SasUed8aXJq3ik9G2XRnkq/xCHZmz0Nflms8+ynqQ9tyxiEDLcxVhA4OmXzYkUuqtvti7jpWU
gnheAarmjEXpPKUSs+Ku5tY0MH7ka8kYnUd0pcnYpLwRnYt9G5HY0m7SwUU0r079xQHE9YwPzGbd
gmef5OvOTl+SMmmOTHBKJrapNBJGWlN+VOzUKB7GsFvumWcP4lxMANpOVTxlk7/EM+vsURm9manE
rjPsV4RChRtI2jdECqphcyIlKrxYzVquaDobVLrcWNtxZP6fRcDDaM2UB1QTzlkRS+ut6likctXw
ha8cZjiOfGGeZF+k1zAIzPc87Z1nJjNI67iPqKRra1dmeX2x3BqaexMBjE3YcJxBmhM26cb5B5Z1
JdxLYJ2sveMmg2y1GBOzHSzVOMcbBgaobHRQsaJGrYoStR6vCJlo17awj5hH5BJTqjPVnelzrvfj
pkakQn5qWyEuQ53Hkgc1FV/3No2R+4cq3p49uvEpBV86O/lusAfVbzILi5nZ1P2LEQII2A4EY3Dn
tHn+kDEOtLyQieV1SfvC/4rdu/XiggcTaIabiaO0CvMNHyVUM2J3Jy8bZ3b92NKZC1hKvWFfNB1H
t16n+1r9LArNeVmgOk2oZ2LlpnJIn/RaWFEt4aztTFJVRwmb5Ch1qcTz7bDUbDrDuW9p74B8k9mW
dkiXrNiJvphyrnel6MUlD0sgYHqJRGDb2b3tW4ljvQvmH4qfEuZ7EmaelZzyuvOStugsdproWWlh
eLspLNXY47pArZ92Rn5XKuDQUS/C4Ygbeg9sQliJ+EhAn2gp8gyWhRjX/ALkZx0MiM/lLtQLRBWb
ERd6TR5aE/ZBjz9zh5ERzUGYh9MrG1ek0OHstE/9bLNmFf3k8qptsYDKyzpCSGx3ZoA2ZFTJfR5r
Dw7exyEwO0dQJ2SRcRLt0BeQW4b0TWeDydwimRRtO0eaqqCUAwB4dO1+IQy3p+ni8RTEXUWTbWE3
V6fohZSQdlcAzjkyELGTLVKwcse0Nv8oZaFflSjWUpy+31dqrd2I66SPuifpAriUo0qmdD+HMBFG
xBnCyxQbnXRi4g33Rh4VpFHhUgK8cbAw9Nj4H1DS0s1POsfPLLT0aziPLFZ7XZf6mXMCg0qEmZgH
NLMK7eBMssFN4LiDQdLw0C8kuUz2e8O+7DEXOnmsWQKMEys+I71N0uEyi2K8FRt6ASUjTrYhS6yC
1he9ocK2T5PeMCtlSepccLOiybE5Pzmw0wgFVMH5v/gZKiDVt0qENV5eagxswOLiBx+Sob6QdDSN
DGmz6VWEKexTW/avfJMa/dyoqEaiOmr7c63qA7YzxSbxA8Nt9BFqSRpvJx274ma1C0iPa4lzZSqR
zz+mxkA+llvhyFOxiwtv5Jo08YkQQWwibw8UvQVXNtTqfJ5LaHlrF6lEHvtcGQVLXuVpoCPQu9Vh
ktY7h8qooWVyW18SXtkDGzRD8EYIfL2mS0ENqSmb5pHVFQequkZFc6oaA6ku0xb1mtqfZ3gm0lux
rIuXzzVzNNTsDJNazH/wXmLXubQLmF227llBCybIbwnTFJGCg4dOkIUdoTJQx4hh0VzxBwPtaDEn
orIKt3mhfcOQ6tw1jq0xeUwxYZtK1U2+CoMz42ucE1mg5HVTBi3HZrQRnVRuI1oN50lPUJZFYMZp
YJC8crlog7KlrTeTb6Be5i/oCFHOpYme3DHFNRGplZb0YQUld1nuzHtCPuJhGyOHfaqTvj4t8xA9
pUVMJV06dXqTy/ylVowwqBLbzg4pl0gQrtziSHZoy/opLN9Y6CgfVVLPDyk6WsVHNgziwObYnU85
V2EDLSEvLvSQk7NHRMAsOxvcd4q55quKqfdxUSc8USiR24BmLT4i1HQdsiTWV4Syz9gYQpDHDBzn
U1MkmWzhbGwnBgonRjomgiurv2mBdfW+UlT46xZ7XPYGD+5dJ8f6Djwq34AUSSDelUi/b2TLmd0t
gEQzAHwTuIW+3i7MV6LtMtpD7BVKyyRKq1tSc0KzN5K9w+Ob8jUaDOaWgCvTC8OGbN4uizYs53oN
nN23Ezr4I9NMx0SVoWuHbo7vsekLlHPa/KaGIJ8UkwgJFQClI5d8fGchI+kEpP5CTTbhlsjSWNzD
SWZoUQFo2iQAVh4a1O8P1KLR4qlubCueyipKoWyT8lnYavUNvze1qNEwBwBqoBafOkiqzENxAt1M
TAz7US1ID+wCGYsFBz0VZSOK3f/uZ7/Lpf4Le4SOmYRV6r/ez970H4R7fTbN/LMA68eP/b6bXbMP
TOR/Flp/dLq/72YJ48HYwC79hwLrD1eEhpXC1AHysYcQrqOvhpYfy1lN/W3d5NLSGNTtPHf/yBWx
RrX9ZJwxhSA2yySwCcYatZ/ziyH3j/0+OupX+CEMbMgvjqKeOwGdzSb7Dml17XNdGu8/vVN/Ywb+
NQXo11/9i/JLTzU7y9TV9mZm/SaKKejidMEdFH4dJTXUv/9t+vpKfn6ltq7aGnI3EFLCNEEc/nkH
nYZDKjoOTrLqAGdHMuw8F3uBPzl6tp3b+kWN0nTHJy2DPO8BINkDEp1atfxB9C9oNenqlvUEzW7Y
aFxZ6eQZePUYfofPUoY6bxV56EmVnjSgpcG//+u1v/nzkdw5WOBXhCQP1PpB/rRCx5nHncTWM7Cy
jnAzoC0wxDs2m8yHZ1woi8Xsb4bEDDfsBlVdcg/H6Fqf1guddBkuXPmSLUwkGZS9KmZ5jg1zp1fZ
18jmCmeAc+gkro5p5L/VC7Qj5SpHjUYCmKqYO9KZ5SGSuvqglCpK0zBv9mxSfS4VurjbuVK9FBj1
YMV3ppXuo3n8SmGzycY4oGrzp3DovCjJbvFn3NX5fG/Kj3n1erCp+wIkctnZwDb8zijsq6pxqWXg
rBxcp+8PRLEQh9SuCQwOL2aCsms2mrHTodA8iEy9pWSFtubymw055GedJu0tLTpi4t102nGtNSca
0QksF5CGDajNxje1PrmeGxsBO7KbvWpn0RYe++QT7eMeTawnZ0gNy8Z00/ZmHEITPWtLjddWzhdD
1W3Er9CdHBwAmOdq3KWlEMx+Qjewxlj/WlvL8AkdXj0O2mnU4xH4zUIRoTptu02NrNpaQl+OZc+v
UMWCUq3Utkpp1x9Jkn4kUSUOo+u49O1ciYgrbpW2Buw1x8cwy1+RFR8luvVoEGBf+Gisdm6YU/ED
dYpXbyzC1M+LVl7h5w2mvnqwcz7vf/9A6hxAf/o6OZYKaVIYxLEjArVXYcnPz6MbVZqkDNCCPs8B
zyXQ/0sP0gVrZW7bGmelZTwkiT6dl7hXvsShpbEkWKvjMJHV2bGNx0mHcDKEqCX73vmcSme+N0Ao
7VrSnjzhtuodO8LsuZV9D2gqVL99fwn/yM73/yIW/h8rOlI1Lo41Svlf32te/FbyoL018c/3GjbN
Hz/5u+EP+TCHESJeB/nuauv7oS3m/uLpUlUitLmp7D9kR4b6G+GAKqhbDJsUeybH/o+bjf9rza90
kcw6rrYmF/8j2dF6oP984CODcl1uV5e/gmf111TIPhY2vrJ0xhvRyMdCVvaLtKG6OnrIXoE+dXqF
XPg1zLTm02mM8svYwwwVjET7wGzHKmBe2wQ08u5Low3VcaDz9zUatw/Scfrn/30Y/zsV1o9H6t8W
Wf5b8Vb+Bw/kf8AA+pvnkR/+8TzqvyFL55/E/PDdZ/qH1p2iyTYE6qvVBCogKf+hg+OBNDjACJWl
JdB58n5/IHX1NwMVE8+q+qNE+ycPpPvrkWlRfJg6EGTAIxrnJ7/o5yOzJo5lRLdrBlqafEPAeiFz
Y1cL9yENa1ZLKZzd2Z42gxI+sHK8rRfxajfRrne/xHhCMadGpzBenrJe7NDqbjVFCdIzIrZjx+Rr
svMgCoereFSfpA5cpou29WLt0qXZI0Wp4jAw8/qkraMXZytGflaW5zxt9hBhDpkwbkVjXSxh7AgW
vDVD7WJiixQRmod4O9fuOom9d5T6fpnCIBRw1uLKy4Bk5t3XJb+fI4CvBWjASWxtc7yyawemTnHW
avNSmtNTjTa87sobYalBPc+7vBAbNuv+rIcPhGA7vhOaD62I9s2YXhch7awdu8WmtZr9EqI9TqP8
tovsvVFjFQI88KVr3Ae4ci/EJzFOU82dEYoDAIQAQsQ7aAhf1sXZxPz40zH4N0Xrr0AM8/uHuEIx
MA9qPDW/VK1z0ehtrOJkgeLrR0jFCrs4Y3e6tub5GuVRS9xW5jGLDhTS5Ac+mX//B/wlx5zzjHKd
kFXr77WU0nWggCVhoJQ4lurkjINuS1sOvIk1c5DFOnarTOz6cLlJ5fI0lIlxtjRLwT3ICNnefM6g
wrbElAtvyIxkaxM8FITVQgBdswdcmHkCo+1BZUJREBYJfALRzg5sDySFBkOUM+YBLjV4XDlJNSxf
9qFrnOQE6hl4KkSCVqf7RYoJaPq2V5Pd0iaax3fv2ZD6KWQ17KT9qQRzd6ywup7++UH6L/09f7qy
/+V/9f+hC0gX8Ed/elD+4tO/6cv07evPh+OPH/n9pnbp8KhNOQQ1gUvl95vawAVEF4k36NeT0dB/
s+DRowx2eD7EWuL9X4GwS+fKQcsPWrYQQv1H6Hlqhb9c1ZbAg7TG1cJwoDL488m4yk8EG+Fy1/cD
9HMt69/KBKBn5BCVh5azPY1Snf2cGQv7byfeWEUZHZqJGB28OZrXW5bz5JSz9eE2xF5K01Z4rFXW
umM6nZSsjIMFsPqmsazwaBZIWaJpecMuybIq8Y0euJyYipOi5Cb2FBxDdsUOpnGTC1GmjTcsyZNe
mR8MjDxjIBIpa2u50wkBYzQD6H4ra/plxutJkKS29phbCW5omcX50VjM8grgxXJdanbx3mc0Spjo
UcuC2t/z+8ZrJPbKVjcV5M01m9MnzMGAZJWh9kzMG34DFxiuao9BZOG3hqwlGQOTE/MxqMZwMGUV
PZvYnQ9KWRnwNkAQyLK4xaVeITyJu2OqzcVhbJzpGgKvg1nfYlbUtpU2oVSb+puYSeJegW1+qqKx
v5uL1sJIUhIdF3ep/jijDImaabpPUiD9bWyOGz0cqh1m+RvdLIfHzlWjT5knzUsiRvO2UJm5Vqrj
3iSONDyYQODORJjckxGvY8Scn1J7kDcx4amU+9I6QA4i2RLO4pmAwPJpDCd1hwBhzYmKEhBREMMx
3LxhjwDVGzskqZJupLmbioHePR1acbHr+DM02csvCTmSbS/ki2Dx7ynmXL+LBRd7OjuLb7vTc6zX
+yy2jj3ghSCpNe12WJF8iZNmN+Rzui+mmOqzNtdQ6Ytm9U0u+YeZqcTCZA2CRdZJ1gXYonIpl3pt
q03Xeq+tXrLxI1AHfN2MtLEZjwSyhZcRWdOe7otdpOYgOQRjeCVn+zNsTpr+AoxSDVar3X3LdPOY
W23rL+RnQxdI+zpYoplgm0KpS3J4NVJOGDVnFzdeWvg7y/yoL7nGaoplSmRW8hmzynzJZzf0I3VQ
z7MuBz+SReOhnh39XuMDQkunkxUFCaZi4Fm3ezUO2ZSUQ8d8W3zr2TSTCYf0QmKx2TKMngBF6NOh
o+6+CNd+RL69ggItMPqk/W7pO+0HFx7ZliC+/E3EoPxEmyBnsYQSooWKtCBtgFDIZWagWiq40ue+
8pRZlb4gqDAwF4inEalCV4Wo5r0ue3uXI7Jld25fl1OzKwyQUciS66uQCsG3UsezOrFZNTW7hXSA
upCbJg29eZhZxOjVVyued5qZJ6fIYqFY92p2WxMJt63XvVfW4gzWMpMUMIb3OsjiE02M85ol0wyD
Si2HWy2R450o61dTFF/LJQqspT1jQ3tPh1LcLGHm7GHPmttGK0IOn/VfhOFoeKM2Yphb7sbWvHO0
ZCZzi/KGwdB8H7kY9oyRFVyYQH2aEuQ6Flj+ZJkC0eklabxCuQNd1JMHOLIbwey3azKhXhOoBJ18
LrWTCl3sWOGwC/qutj878my3ohLGVdMbfJkYfQUhWt17gzFYAD4e5fDsTl47DEyhSZqFt5CXgQN2
qNykSz09R6T7HQw7hWyQMZVgeFYdJ1tJ1gl+uxuqdD5geWa8rjF7ObRQ3HbhWlI40WJtIxu8SWhE
7JLDefJhAWA0y5CAW+hmKVTjbpe5Mg+U0CbUe+6ZNPUWC2IcoF/rVFttklk1n7tG1bwCcQfioip8
ZuWzeAzHURG5IzGiciqPrF6dfUy82Vc2Nd2J6QrofDdT7/iSY5lMqDg2jHBE4k36aDyK5Hts05rg
lH0PcwoxmV1aNNngABLyPtMhJT2NPd7H5BaPxigl5WhCfgPGC96IfW5WsBCz0nqBOXrbt+NlTnjl
pMHFqKa95nviFCbu9AVXyAJM3AFAC4FyW1Ww98Impy5KgRMERhO3m9YlycqGmuBRAiW7rrQAIVCo
Zyr1fBxBECFzk1bUPvepRSYeFHUvM8xTukApNV3nvlwG9CDfg7Os0uzuUVUkftGPH5ljZPuxijQ/
XIv+MrlNDWH6WQo0HjJr4yWQ0rddNS47sCf1zrA4waHlEofHcpf9LBMqNru38WA/pqLuXEjtBH5p
WT2/1CnHBjkHRWrtBxEi4ltjwlSQIYSkNUgeWpgka5BYwtTtThXozfjXPbB5+3CIXruMUz9PHgzD
vuhFFFRrIBmW2SJo6bc31hpXFq/BZeAY0uOEx/SAH1x6Ia/82VqjzlpiEvxEQnTmltiXXVjfR/BX
drPsQ8uDgQ0KuVgz06Y1PU2uOWoQDetTRVbIZ+GSfsSTu16DM4PBNXmtZcju2wuIh1Yg0mQfGAi1
f+lJbQNQcerXGDetiBg9xkAJ+aZ4RCJ27D9lUgF3STlUMTgecc2x/zXaM+pIr2B8tUbjsV1ODRww
zI61Ff0hU6PesC3MfG3pDugDkTA69Vk3HRBxefqJIMW1tqLMeBdz1Cz3Bt3DuXY+kQqP3xJ7Di8k
WcAuDi39ZH1PtYO9RcId1ujujVCe5jNdVMevqfkRwcT1SvaYJNcbe8MHNsvsvlSXPD2Wt8BhxjyR
t3gQabVqq7lS1hA+q1tlFihD1SeOnpRWiUTlVoLhH/V53KlrmN/i0JT1SFa8WWNxpWAdBrgxLwUW
2zmMfSNuH+oYQ0wrnWtHAZABqVl5gku+4BumRInU+hNW9/RQF3YO3cEW294ky2RjGIV7S7zJ02QP
NxURJwER2BcIPfDf2IvBMXzRuuaxYeS6McrMuGUXUm3LNeGQaw8C6vfYw3lNQEzXLMSKsiKysvc0
pgmsoj3txgls+n7sxt4f6bgjfzELIE2ZAa8JbgZvexpUqYUhSSU4lhXjrKh3mRq/c6E9jc3w0Vrm
blUlXVBZyW1ExIknEDltLJwZ3LtUYWEcWIAo/FQs81XdmqoX4vKFtmnKS2jF29wKo9gfJ7v13djs
L3SoC6lJcK4RHqU16GrVeOD4dc7zshIRuhWOQAmPCUaj6jTji1plCZBOIgiTFaggacVuqeLm+yrN
l61JZ3kDDZFKOP0gBZH7ZjL7U88H7cm8vxLIc49KXCm00BZsjlaHwYN15xjqSedrBtxbA/KRh1b8
LZ1FjRyU+LPRId9tCqXAIkbcnGzF5FdLbJ3bMdRuKL/l0bEHfQ9qKIL0lp4KZZKvMIXs1XLnQJNJ
YlJJZmCHNgrxuwZX8bUbahqOserNyYnKtdxmJfQV4QYuPQ07MJdWdi9SNG9yqCw/0VnTz4XciQ4x
Y6hqyrOVFM5LWTCySPDcPZbwdmEmMnW35oTcWN66T3b+BZl9mrgd5znyprRUrTWfoT0iWcz3nZR7
WguxB9kueFOL6IxPp76xHS6pqMp9oyv75zru5BntTPMKvVLzM0vi6kEEo3DwrK6GEZSdRso1z04S
InUuQm+MXCJF7cz1FstkmDP04WM5x/JWjXTHp8UN74ymJo43ieoDNdh4V+l5+dxEDTKyYkT7gJfr
TleYo5DonH9UIGl3RLWW39y6DnfTWJtECFBB14SNniGc4SeC6Vy8sfbHBzYsKXKp0dFPlTon91FE
lYecQiZPWB5NjtoatFQfRhcNOvkuMgr1oqF+wggekaAct+0hXLO6YQNEX0rSozd4CXUf9VjxQTqj
e0GUZz3NmqZs+m4UG2H0RIa2pMNmMs3vK/i3x9FxUKinWjLw1utERtIJBHxjUq9t18u1jG/b1Nwu
jRVTsLXof0jI2sOEHy82vkZPjLK8mC0CtkK17GAJw8+xHLGRQ2MR2zKfKd0m2J3srpxXbWoMeOiF
cTcCxQqmTpOnqE0F9afA8N5ZAIQsrreliNzPugt136UBPMSzU12LKEkuIKySPfYYCnKzZP4AtY5b
w3S3+PocjTDEm0wZywAZIKjZxNWOiaJZAHrd9KIvzXWhxjp5kxaIG7sDbrNkrPxq3T10rB7P1thk
33ihMgjd2j4hTGdRlndItMd8/kbKx3tXZPPGwf7q1Xi5fa2ZANm4WoJsEaQL0WohE77oMmQZlaPm
XumY633hWAN59FbynKwQgHHJXyuHFDPsh/ZVTcZKYS3ptlSL2av0djyt4080peUnCokd1iX4PJ07
B2ETk3yM6vspjglWQMWBijjmO0eUj8AdKElc6/tGO5uUYJ7U9fIRQLkW0ssNTxED0o0i1ft0jsKt
GW6dMdxpmcyOYTHcpqPw7WjkcJkpyVV1Cw1vJmh8kdsO9v3qfr9OzfYrj+eEeLNIL6gJFx8sFcqd
Dv346Apz1ywsTtHplNC/DB7UPASy1aQCImpMZIF6iTg/gxwH9FobJNtKMgAdakUP6PPCvYNkyc/I
d74d6jxBYtPK/QCWPCAFBwaV1aZHbUBvJYfCue6X2dy1iJq80oquBtvAo081GpGo2sN8RVmKqJ1s
BN3XqpAc8cXVn4GVeZPpeMxLV0pBlUcIW5SM0HDSmKpz5jh4jMhxOLN/w2fqKNNw31pp+VqEOl8e
A5zaexOWa5ZUbGMdAgI8qZ46pLdFowFWNa2iI5LVHJBLr3Htm4UPHjdSVl7SLtWIVC6bS63ktLlx
wx9O8IKzwXOCqRNXxUtvLOGTjucikAN9y6ZLUNttinKaDxiptB0ej26HyEjckQeWHedO9Adrrqw7
YzLNXT/ozbtoUlf113D016pyu/epKDDp1DVfxoHDk7fGPYVSqw74q5w99ArI88LMyExuO7bMjflC
Lz0+DYQn3aPPMS+ZrVe7WCtB4wu1uTb4TG8h1vHHINF5ivTxs85TPaATIvVEJfIN4h5OxAkyr2kY
A3MDC7laWyraNbetFhQmMjyqj2Izz8oZBxZmO+zDTJwxAruaVDZ5vuJOdGyeyLdQrl7U2rXv7XxS
AreAOM6QpLgC6xHozYL1NbI4sYYo2Yt5yDAcoRJ3u+oBWMNbg+R0mRNlk47JR5aZ6cGWEKKHxvBA
QEoSUKfnlubH4TsMEHO+wtr1BdCickQCF9/+86nmf2NX+T8IfWAwPAQT8K9XkPdJhqTx54nmjx/5
IatxfnNZ1jAt/E+i6Lpi/M/do+P8psIb0Nn1/JKl6fzGfoeFoAFR1FrFOH8MNG2IBy6tvgGfYIUh
/TPiwZ9VNfCSTIO/Sl9XmSYQMOuXTU9oxIB4CPrdm0MMv6sZsdtXyZUJLfNoT8T5kUpQ++Yaez7W
0fSYjBnhTxq9s1SxfGvuyrvWB4eatqXDo+O/wygwEXJYd1dAKuP/Qhzz51XpX/9e3pifN1PgFMn/
cWZtDzdo3M8mI79aZwInypCqUa03zINwiBTwon/6SP9mnQIc9k+j37/+6l/2KUw8i5oKad4nEVFy
y9SlhGVLZ4sRvQrSXqn8xSVrr9eaVfxqXU+r/lVIt/BdG4Z1SlOzn5cSVjJVywbBHcNbwBKMmpGO
1Lx7wpiucyOMrsIOW3BiV+Q8NaW6b0FP1uBJcdA/ZgCMuGykgsyipo99yRJlJsFajvKmigvOsK7o
7wduiXPW2mj5ctKs8lovjoWrVldW7yZXDbTW17gfqa6VujonWq4Hc8EV2NRdoJbv8xCrB6QSO6VL
ied1Y8Zzo6Y+mmM1HWycPrvcyKG0TFECurt/Txu37UiI1PsXtn3qLi6VdIvIAqQ8TKGgia0KW2r6
aInwup/HWyxLzaEd/TFXXsy2dE8dXpbjnLrP7aIrO8T4pwZ3nj/HQj+nS3RVFIAAakY5vjOnzcbq
k50xIkgdHPutK7ifaTHKDaXPkTpN2ejDfD2psbVtMQEFoMMNT4mN7lgPE673nlorhFpYhQsCTojQ
TVSBCZiOxNMzkWxqH1XvRkfMW6XyKLTQ2kRkAmzRYk1+DfJ6mxACtWOIYgb6SCwl9xYq81mtAl4Y
oVYJNBCrEeqXMWqiQERQwzH5dTPDoeR27F3jyLcGE15/CmeCZk1HZyoZTw/ToGCdLabOnwpTZcLe
A/caa0afCp7vaQySJiKnhhQ9RqJVfO32WCcHw8jP9G2IrdjKto4ID04p1F2HOfVgAgZhnQUElcCF
2gPwYXmQNRN/mIzlgYYI0l8UKNUweENcHEjEAzmKTxVPDU/zZOEXAQdfwYpwaYazfj4BLFcZC3YY
ZofiK1iFhy7rvAbt505yx7ux86Cqrt+KHt5SzntpjVimiWrEekg4aiYN2yttyJ+57mC+7MkTd0NU
6K61B3pmbwoI7sJ6KsuWWboxO3geYWYSEJqSiID9N8xTdFWShs920h1m7TsSuNSTAsJiI8Zp9Kcc
jnhVd/ZprursHhuw4s+2TX9i3q9TQj9zJjT42DqJrEgvwpnIVQPD6ON/JwMRp7SP52ynjAAuAZsH
xBjc9TrzWcY9DGqzA6bnu8ShD5bz9NBNycmqE6/r4ssgtZoWHXucPQRT+7Tk8tqWmHBstb8jFdt5
1GWWbMHbBET8vWUAsjwYYFdYx8nJLB9AZwb65G5lXLwDIQw6VgR+bmsDFW4bewxUL0THQaOBMZyk
EuehCyZEu57s6JiGpc5cmky6Dck89jYKRVmtmP/2q4Zuk/e9VO8nfBstWrQ7pcUJGCakEpfuML0P
6NA2aokWd4M2132Lc+AdKi/rAAIRk12OIdtD+AQhTdb4ocjg8tCw594kjXLf1OAw9EwHT9O3K+U+
s26dUGd0gc3pKlVlv8+VKF5xxg1Fr/pYILVa5cbjaca/9NC4/4e9M1mWU9m27K88yz7XwKkb2Yk6
YkfsupI62FZFDY6DU319DqRreaV9lJK9bL+OOudIBJWzfK05xwTSNQMYXdmxYe6HhCSyovBpSw+V
b56xpZvHsNHqvoGQcTtoWx7SGj4Eqef8jxiimHmx5e0KZZ5hwN4wsj8pYU9b18sfpyrrTnjD+T7k
Dn6OOdkq6YMTwYqxUgLxoyGkuhZNoHGw0Svq8J/gsEZUmOWICsO2TY/xUgJnhjL3mEXTrW/Slwnr
1n0tqaD8aGa9IweinIPsUA1BtoEUPiMO8OeVYdXf/Lg6QAzo9ggWxJogsvzQhukHm8781kmjOz+1
aasnEYkq7DSxEWAlGYzMOpYyq67Zo93/+TtGsfGT1uj7V4wpqnAtKj1EtP4y4PxJnWkZTmIZeWsd
8L7f1Sn2WhLRVhrP9o/xNoNp+O6/+WC+S9D555HelRZ5N1aJiWn00McafGsUfrVmPMtsi2oMjd4n
T9C0GF0IqQR9Rhvpw//987nav+pYfvwEFMuO7VrCNpkO/3qyQV0RYt/O9A0gBpJN5QgDKWyLR6Hw
aZ4rn5ZVY+UPuHq6Q44J5DpaVpIEtxtzjKi5CocOOWNbM6XL1B0a0ZB8OMUqHwN9viYBBbAo0IRN
1hfxIY266iDGsd0qun+bFo6PaszgwFbmGx04Ayfv4kRX5R2/w9jiVnr78/n+7t7+fLrvlLeZU0CK
JvXgYLhtdA/Y215PbK02tDvnv4g7fpVE//vK+iYBz/zhMAb+9cpaA22sDpYemTj+t87HSDq5zkcb
SfZGufL1z+dlL4/KfwRy/zwa5fjPD62Rsncf60wc3LS/nbVrv9gAe47ZEH+xUnaYjZd3tzopEii+
Yj50BrYqkRPtGhAvdQkzaNzcyU3La1h4zbjLWt2d6NCDnB3R/KYptzB3B3PDHNndkB9X3ZrE4YCw
UUwLRot/jU4aaS7GeVyKkmYpTxzqlD+f53Ia706Tit/y0KkGAdd1eZx/ejexrXsmgXjWwWswKufE
/q5LG6xMGXrGbdobABR0U+R/uZW/e1F/Oey7mlp0oNjNms6t4bi8Gsr94ucWX2YV5Xg/TONUTeN1
xFTytliqHH/o8r+8qL/9CSxKkOIAwAbMi34988K0xlaWqXWwUwglLZ9EkhAvGFqiNWQPNsvSA/pl
Um/a3kdW/Wb35yv/m8cZ2s9/jv/uzdEDrDOrip1DV+iPdpuO110V2aey8XiwjfgvkuRlp/D+PqPw
g1KGTBXF3ruzTYbUUF0NBsK12+xsDZDa0xZQwZ/P6TerAdfzP0d5d06tjeiicGvnUHZs/AdOkP6E
s+3oSP/l9v3uSMupmCJw2a3+YzGQoa7m2TMXARwutsAiDyo88p35yxn99jH5+UDv1gH2H7pDz+/w
NWG0nA7dTYZ+mBjJIMI0qu2HPO5IiI6X8hiTLFsB2cnLny/rgiF+d/cc0/SxZSyC4pC9+6/PapSM
Q+OnkX3QfiYPM1OYRykc4k/T0T5I2H21DPNN3DNzTom3WDdx0qz9BsoCyKI3sjZJ18SQ0CzVRXWV
x+WLp2wGZKl4RoJQ/2XD/D1u/NeHjZzg0A1Js1t+sfvuMTAsjKrlrPhpMVq2CdeilSB1gyCPvseY
L2PojVvUBwfdJugTh1Su2IQau3TMKd/dijQF4OUbQsqPlKnRNmPgUEr2NC0xpLgimm9SDvGReHBK
OCbCFpoZHMgg1PopoGdlpMRlzzW1lYwaupFfRWqCXh2acm16vXNu2/ZHifM/cvm/eMBs3jxezf93
o+rxrUyL/7p++6J/aVb9+Gv/blYhJHaZdwekkC0r8U8eMO9f6OiIvSEBD/Lbz0p5y/6XE5qo1007
XPTJLh+uf+vv6HD5iwsIIxOYP4YU/y2l/K+vno9636aTxh8uR2O5effqqcYOtDd6asuQ6hYxKOQ2
o/lIsFYMj7OjvspPTjvOPMpwG3+6Urc/Xpj/qjTQh7Tq2v/9v/DT/fLe+07AW++59PFsaPqc0bvF
ZzQsMxt8WWytwoBRtDCTjA6msqJwXy1ipNVMi/ictn2y19JMIcxY5mfIevE2lCBCtgm4Hyb1MC6v
e3K1iUAe3SuIBhDjyAI8NSrE+q7a8GKnLZMvNfX1IcJ2PhEoJlFsSP+OwtTNL7IMUmoe79FOQB77
DC6uoX2BTCJ6z7pxamZoG+21lzgtc4xe7NBrt5t3hWfLjlFba1/7zkxTwWxwhkvgZ3dqisUZ85Xx
6M8OmjqEuzeDDQ7Bxyd4YcZU7VPoLU9Ziq+r8YGjgYEDmFl4es9w3r0KcdPuXZbA4+w4ziKmMwwo
EBCP8oPjYyT33cZrN8pINfq/xq3R4YIUlnu47tGeVJx0hTTHI9aZEdhHBFQZJA8hxT2uwliuW0YC
TIoMrlpLB27qs/bcIeY5DDn75TuUhv3XMprMD5XTksBKSF41rWEO8ldp/g+vUMiSHHLHUD5Udvui
G8MFboVwMBTdVVA5VyGpxYc4U+2hV0G6zxrjo6fNEJSyM5LZoEE8FrrVeOfyTEO5zOyxw2o1jtda
omjQKs+v+mCE9wmIfS8Adut11gT1uWJOeUS4WB7sPhkeY7sm9jgiZz5VesYlHRjbWXO7Wys33wpa
N1skXW20Dv1y3OdGeFPS2zuHOciVnPbjxTZymmk+/S4MXNA/jDY4WMAYtksP2t2MnbbORBImco0J
nyCRbIgkkjIG8YUq5x3tH4cdbQCe0xDhrnfEvPE63b54sRW8LDZH0sQlz3TsXgVWg/xyec67OC3W
DV6Fiz2hZu+9OsWIp7sNVUW7tQHabOiPUG/HDd8Q7mD76CP6C1euq/KHIG5Da9MjrLUAsYUGuo4c
mhg8yDYdPmaBtq2dxPKAQh/aZ7PJ2z7lbbEGN98584z+3h4EqHM6B/N1UPn2p4qYjnvI3mkCJ6Ar
9tPiyBrsyP8KSFU9+EMbPnVdKyjeFksX1vPxnOrSebTRqlmbsR4b/9pJgHhsqxHvzCbq3QieomEw
zQejkK0HMwXpNOYNKMYuj4dPchoRAPYM2s6ZspT1MQhawpcIdVqHZIbxNZ+97FM7quKWcBKmorEu
HttUuODDmmNLsvchKIZvcwdtA1IiIPLKhrVaL1a6sc0OU+ymlybXyXFW1NdWJIE0xI3dI2dM5JXp
ppKXerS6J28Q4ecssqOjUXvzxnALcI7tAPIqbkv3kJtN1mxSxHCX2SKaeQIC82JHJKIXerAQa8zu
WzT31Q7KYPoNB4gF/2qo4Gn0JHwPofVWxrN3a2l4kVHCJ3sag/YpymBUFX1rnrsxLl+TzG2ewefY
T1ibnGPSgkqScuqiDdlaoG21zoe9bNuCMSkxzu06jVJLfYZmU8VXia2IGCqzInCeBAKGYevyN1/V
DAU1m5JvUYQL5uBMJvB/i+bxfBCDMYNESLMJriaImSkBfBm6MwDCTIPQX8cmsPiVO04e2CYD3+SY
9ekbT9o4raoIUA2ukzA1NwZ4lyX2mrl2gpAP+JkcACWA5QeF7wOvJNt4Kk+zDTJg1zi5FTMdFQE0
zsD66BpueKvV3B8b049eWptQg01m9APwkoqantjJntemT43oDf7CwpFEHngFC2541hkR4cdIqDTa
NPSW7iC0LlxUm3ZPFKfjW5WN8rpDiidOSRmE296YPkyDUdEcjLkwVV8YDxXdr6/oNHtUjjR1B1/0
emtqTR8FVSkpiR4V2isPP2JQZHOMW8G8AJyiA4ZPVbsNhI9m6D1Ebn6zID4w0gIiGqT1YZS9venx
RFqkaZmVs4K70n0wKkSiWz+Xzgt8KvO1SQEQm80sPqeadHrbmcNN2M1qZwLivRlGL/zSkn5xjSAy
zFDyQZtFyTtHICvmqN5PMSFWa/63lHDyBipjLH37EV0miS6Dw0u/qp2uOdDj5weU+Zwv4rl5QJVg
QZMBCA8geZW3OcmZs3ZYL0AQpsW+zidiFsBQ6XKN4X0ed0FO33qPUDdgC7B8d/D+1c98eqJ4Q9SF
r9f12MunPO3mq5xR8o5bhig3CzpQvQUEXxnxwQNnFK7Mxu9OPRxHMr6SheJX1mV120StBgDH68Bc
3UeMOLm3ECFI3wpL3wbBB6MNbS+C50ZU53JSA6vpnFyV9D33Sa5ROJM7nBEqRUIKbE5SYO8NK7S8
Df5bsjUQTZnLi45qbe6U2MZmGHyBNctzqycgt3AXwvabmszgZsZHXaN5JAGPvi6VUFh3ySvzZ2cD
nLG7I+B8b3feeJsMVng/50P8bHUuCBZBsAMxg5BqiIGPVk5VuuuEeJFzm8TJTeu3vLYkKztPRd30
n3simnhnUuVDHY6nkV0EyOw1KYvkwQPkvQRzcp4cyFSq54Osm3bvmLWkghDJYz8CY4URxF9OnCa/
FuSg3RZpYV87o+XBMUTOe0+iNAAapzOvkmhCGFOW8CeKe23AXiZ9A80LOW2pScAoBexnpyexavAg
p02xuSqnCIhRJjkef9Hb9VHpn9CU1vsZ9DKpEBIIs7QHPEFZFdwC3GP27rWWXW5ykAb0yj1ZX0G7
INIjdNBA1DxU1EEUQt/KPpmvsd2TmhWkxnzviYx0aYAcDmklPT8I43eJfkbQ3WYfr9VXGs1Bt3eC
tPusA2iGu7Lre2gaSsoDojTznBdVL1bksaVMZaA8uSytLqLGEKn2cFwMJfzTmCi6Vf49zcOZAL5N
3azXRL4S9+HHLt9DuaSAdAjmXvCcFFsSlmY4xZQqHoHAC1eKDaGT4p4jUwQ+k3/nqGh4tuaFZER0
Yn7CtCJtwPBUX1u15JM0jLfGrQVOAZjwFIa3TSvn69xU/UEt+SbZknRiCpGR5kD6yYjEk3HQ91CU
nLxFeYzG1EHpUHr8kp4FXK6hl8PBa8jX/hrmSMFARQnCVuyB3BU8O0sESzsKBwI1k82DCRL2rI0w
abcTu/hzsqS4EOnLYeLv4S7cF4JeCIgAgIN7iEUMzaHbnhVMl+GmKpeQGBUbBMYUZd/PW+LDpugm
JvCk2mTxoriQ38Nmsu/BMzkFsbtzJ/Jo+u/RNDryYXZlvRD9KQQqFeysJc8mqIvwpHufqWdSmiMV
ML25lTU5JLiguW2p1gjIAZ8tXgBZei+81Fl/shw0YOUSqjN/z9fpl6idSUZ9dYVsA2m5mQ4NLf+R
VKMNGi5FySqJupirwngj+CIdN5ExE8znm5RRW/LPSPoR7Bz6XWd6uCm4J6QBJQTOvBSgaZ8ViMwU
F/uSHOR2bMqLWukdEhzjq2llEZOQJWnI5KtynMaBpbheoojsYUklSpeAIu62vDjWnBXreQkwcpco
IwKBxdXsxAhO3Kg7l6g6sU18zz/i1LcTP0KvR88Zr2UP5n7jJ3EEMY7ySG8IAHcfO1M0IIP+vB97
1wtiO+YKmi8e/Ah2qkuK669tGLJSO12kDiggIIjHuos/VWn1wBDu1Q7LB+FWfFhxZm4oMj+2CI7v
/nz8X3t4Pw7vmUgmqO4AppjLf/+5Vxu1gnhwo9uqiHkCmGQsqn1a/KUj/H1H+5/uzY/DhGLZcZoc
x/2eV/HTYaZ27sUwOxCj4m5RQ2piO33DNoKDk6CeX+e9LAWj7yr5UvF5EvjImoKI0r4YXq1xcsFf
VvrsybIj09oPL8slW3soS64NIByvQrBRSHMvruCeZ353S0peHf1orv5PP+Zv/Rhq5z/2Y16+tt1/
rb5W8VvxS0Pmx9/70ZAJzX9BgYFZYPo+gUU/NWQCF7xOaCOqDMlN4U8ewX+nogn/X8y7fJokaIjE
skf/vw0ZYWGIpFdL79n/Dmn5bxkif+2b40+nrRji37SREPn4K991sv3FC0iiRrBXic53UMxwZ8QY
Pwg+CRB2Tsc/v3TWMor4+XXgeI5lCXpJXBHES++ml5nAE0InykfR2cb7WOTZ1yUz4a63KvIzJ+xj
ZUR4GV/n0GxXgMQCMtMTVz/PKirWQy/sp7yPgn7zl9/1vje0/C4RsBqgpaJz5tMA+3k1WObEDuVZ
sB9E8bGr+B1MyAJ4M+4BlfgpJI0S44WtGLsXBHBNF1dp8/TnH7GsOO+vDShMYZps2miRvfsNedB4
0QjhEsv9iO4/b6MT9q768c9H+c0dh1ARMLuwkS3R7/v1TGF/91kyZwEGBjQb+fASOD4kF1yebC0Q
9fz5aL85JxS0nI1DF5Ex47vnSwllmWMWhPuwwpUB9JVJvJbiL0dZPhXvrhw0BhqLIWb1pdHw6zkJ
wBrN4Eb+3oWZuWryaVjhVrzvy/Tzn0/nNxcvtBwPjQfnw9D03YFcY+aKLo9vhG10VRrZtyGdG+we
1S0Wy+v/j4MBhaBX6zBkMt8dbNROXfutA13IxvRR8A1lsC2QKs0e2o3MO/z5cN+xVO+vIhA4evys
CKxT7+5VagXOrPwYVwCBsCsFd/g84LK/L9gpEIWY5BsJCnqXdIM4wB1fPC1l9MkrkFKTFtjcZ3mg
9nZV9hu6NJFFE6+RawAs4JRcogw6IUu5CZIqbI7sptO1XZZBR9jGzP6gppBay262Nhp4IcruzLtT
5EP/5aP/D6YC7zmjFA9NHjFV/3wehyoVA14Ofx9XiThmJBIcp94115Cpnoyp2oE1Amqv4m++ncit
gy7mkWSg4C+X+nfPawh1zSEMy3QBG/36vKqMfZYbFeEe/JdzHJ30ujI93Iwk9v1lNvzPI9HV5/sh
AjtAoPL+niZy6exkYbD3MYSuRx1gM6nLj3AlxPbPj4/l2f98O5amPjMGmw6x/+O//1TrNKVlG75o
/b0T9mJLakJKVIIYb4Xpjfce0Skb0XSPcT6WyC07RHddYGLGo19KEV2PwyFsJb1An3oUoLnrPei0
d9/cvgkOg0ebcG03enpAq+icu66vr3IEeXtSiohwkRbWoF3BzV832mrWZunroxlOWGgTx9uFqpr2
RtM2G6UasbVdFVr8jwvKwo1rN9oPHfk+cWlFF01r7KZyrRFbSULYUdyPYtP7QXoD2Td7w9VQkpEY
DluzIOkAgx0WwL7xjzDZ/NcUE/4Nu/4Ua5jTro0IhiU2JO/EYC+6WHgqQsjc2yKS5WI4ZFJOHNeK
qah8dISSr0JX8i2IzQBIXVMJOrEN8HAiN7Y+MP7FmVYcUrPLHgzScG4IjaRvOdIC26BzIHtlHOzm
VY59dFF9Ej0THpLu+7IJPnsDWR2gie0PuZG9VAWoXSYvtXeVdWjlEaNf+2UC2jQ92I5RHqrewllI
IoG4t6wAg6ideMGV6djtzcyucEV0oIeLT+V7Tkeug55tGQ3KdENbSxd0W9LRJEu+mM6hDrmZeOVL
vdEigl2g2RftC7pYXymZuCaDDSAOhyWORW1dN13EbMK1kdQ2tdNiNa/6Jd+QjmjpytZb0fAInynb
JgYhVdg9AQV1sM6b/RqDrbFWnuucm94rt3VjsotJ40BG62bm07/kk+IFy/Dd6k3eBylE71DB5uV+
i7bn8vVGS2vVywf46iEqPWwC6daRrvshkWK6QtXtfCB4FYd+YObJDexQrF8B41m6EtpkW8/iMbJy
OpMiDZU8mOehdbviGYlntepNM/vcuBnn4EcuT3zIDOShwCOOvicZ5DahxDmVMCAKwELfiNWYmIPo
FE+h2dlRtg+EROiVoeI8i7xsTrPXefUGFTWpoB4tlASC/l7MFDiYBET5iXxU0spIqsOf6ajmqOhs
odHL9aGPzPHizajhVpkTh/u6Nma1JnWBlNkqus71SNySXdPxGCvybFbJoEjhIT8a7zOBX0lI9F06
n8Wgdrq3mlMSEm4Sw0F/IJ2EmIx02o3STx6FGY4EXssO2OroHQajjndhQ4AKxKKS+zuWm9gbeT6K
mekTwygN0Qej8XNPVPCVPTVfawuLU6pVSn3aNB/DKPSAz8R2czQs4i09IxNMmXCBQPV2h71BN26D
wIarT3zGJdBViP93So5JpQLO1SUes03LN2xRsFcrazgEJM19ye3ZjaCmDsNdnzGpK7jFDxFOnUOW
GhBo0FPvjZGvMKWo+gyVo7sj22k6hINR7lULwbERsbWjlUagFUOZsadAHGfLucKOk21HH2i40pmz
6uWJKUFwBdyvoRE5D9gM2hhVbBY9xVMP6lxZ8Y2RT+JKqS58S+GXYQJ1u20Rx7ZLbIrSVOUqOgjT
rdEjd+l2dLH8u4GBoSgHyOFJiuNSuMlVLPvXIMCXGNQmoa1Ag1aIQPVBQY++dIXLgEs6w7ypq9RZ
xRhywO0aRbZ2dIZ2mBY2ET4kAdsNXMXMnx9E47cXORMlOhKTToSPyNZ85lOEw8QltH09HDNhRK8y
xuEEb5C4+8aZt6Minrua/PkSh9mr9kJQxi35sWEFei/2bqOivDfNvDiWhDAc0Yfm0BwyrNF9vweO
aZDJ5g1fGXAQCJfLHJtQoA3rdQwb++IU7WWIEtrDJOetx8Gc1sKZrHPR2Q6I4yApdqogJMQt6mFX
o/diuID/PLMAvsxK9fcRyTbpTjl+uyo6WNFZZXwboUiUg+8+UiTNe42zckXO0PPgWebeQvu1HYg3
vDhVB/hEne2sYoiHDn89s4Lj1q3erLoGac6Z2+SsMIUiNMrpSETHoAtRmmByMZAboAf7uhl0dF8R
YLf1o3i6QpF+ceq+2oTo/Vaj7Y2g8jXhJSHAEX9i+OZNM1wrPAvZUJEz5Y2D91r5CS2/Ip52Pqxq
m45uHBEoXRkDZdVUySfqsvFOwGY6MECO9ioFH2Gx2FynJX4LqzHCB1jO7gcFCgGJL2wmroZXYsht
5yajUVxoSAV+QxoOgx6V91sPzkO4Ykzh3xa4peCLs3i99IlqPxGoi+qtoa+lj3HG6An/OXFHXTt/
m0TKRCwl22bw9Rv5cfWRf24m53aEVekoZ439utm0U3HP2r8xWXwwbprNfs6Yp4KwzT/gFGlOgvSV
FeOtmQbewLSxABuWptgdye/iNR7UFZOo8QYYynOPVmWDcfbJLga5tvnI33qkdu7aOcpAZ+EXoxfp
kRCY5S0tM99pHoRnPvgpjr5aoj9iOGIeuhZ/8Di1KLEaMKGkfTGLVrpi1kjPZ9/jYNxj7fVIcUQy
FdGJXQ1SFOepK8WtXiyClZlUWCmddts47jYypgzdAKvF2Ib1Nz5INHmroTggweqfYqhzFSGG7vBV
EQHl4Iqsyg2TbVrjc2hSM7rY04n+Yx5Zg9tJ22+1ECA1ME4/2FaIDcScblOFy2yaXXqEoQ2UHGdt
/4x4Of7mzrnaJtybmyaYzCNz/QgiaKjuZ2CDu7aMvpDcqa8hyBASkobVySM8gZ5wpvPD2JvjYrCe
1jpqSC8uzbtmxqjY2onY0c6CCBG5DgIuJ65OmcuTEIzC3Fm2Jl5JZPOuHtP8ymECUqzwuaTDesyx
FWi6kZ8B2BdX6ODzbld1XJHQy4p9VIXWEf4bfJXEu8od/Tqpsb4wAL4eSZT4QmSnZtpjy83i+ET3
IK41qvltGLXtm9167r40CfMo3Wmf18ZzFU05dP1ZEt9TRdWphjyxTeQYE4ntlU8IQbrrEB3z3uQj
eBglVilmNk+OTAICJQOxacJefWmqYebLTVGA/a8GOq7jYSMFa3Nee/G1L6v4ziIfb92aknjVUhg5
8CaCx2lk9Ldjol7kMvCqDX1OBDF/5TSQccS6PXeQ6RkAkIw2konc1/O+D7seswVQoFn6FzHjlxJp
mt5R2LuQM+DlT3NEc7ayA/AwY/VMCAo+Zr8ipQTxipceGBp3x0KTeOAznDyQ8BVDZ+n5CmPHPHTg
VPcFgDcdklFXu/4OOi4wCymN4BTWI3J4G8KBXTADMgis0blFi9IlFAjyKqU8FLyYkayXZNEe2TXG
Ho6/UqX7uWvc6NUvMfxK8FjmMHnbGehyJ5snwieCVdtPp87Qz0Em+tsEExCX9kPYGXyjE+NzQHS2
sPMLs5SHGNo+ijTrhuSZr3H+VQ1Bj3WdcT5D/kdGJaTdNfIkXf+cutaFyCG8+r5uzyRMnhVP0Nkx
w3wfDXbwuR79bBeLkolzDD5W9nvba8qX2f5CK67YBaKx1taQlesCrwQj18ngBrbpo67TllWsesLM
+exhbfbItc5l9HGs3XNiFR8c4XZXgBnUWhcKk3SZPCUiPLglASpB9oEQqiMRIgUI3era9sBQm6Kv
V57sh63uJ0y0C+pfGBhlHJf+RdKIY1UNzW7wivuMt2pJZPpE2+HoDdPGIASIrFULI1kPfSRLogMw
yP6mCmP3ZpJ++7UripCmmXvMiVo7kbi0zNRAtJRD9Cm3fTbmbPcfO0LQWI0jc4kTcL3PyWzJXdk6
a5As7k6FZnGacnSGIhqSpZTymq1jM3ZMikBv2rEil8kKFclJ1UU4SK3baqRWkZhqF+QAfgu2COSr
5uzqDWoYTjgTWc5SoCNS6ZxqM9fcb/at9RLt8IDa+8axBzLKhPrYo3ZpSRqHeEz1WeYCCkPEmi9j
Cno7vE9m+2Jn0Us3VddQvxx8XNx3WAvmKvMLdUySWfLRr57MDkWU6m3cMZl8zQCsbiyUnwC0P/mG
8+IVgCxmxTd7ki03TeXPUtj6lllM+TzSDEUZ7xYYQmLr4Myi3kr0CCvZtNlb2msimcleYUmps5Nf
mWo1+Y2xacqB2tZXHwlo7PfAjTlTxGdoJvob14JikJR2vZ3xRX3z0ULcpPVIdefZxW4yzXpnhJjI
JqQ8FXuWXcb+5zSQqDVoj3xEoW5VxwbDBXH8mkiDCJwk0ntaLA+NjutdJOE09/F1QHl40zaG3o6s
HVsnjLwLOEcEZfji0z1yjuZ6JoB2pVCK7kyPzXGwKE1y4iw0YtSdQDsO6LNDoTZ446MwQFD6laSW
VIO5Q/lSfx45qZOv/GLjjdxSPOHyQB6T3vO9Na9lgw8xrvMKHfahmoi9xNUkLiYAkC2ZHtklxz77
3Fq19xyM7tdotBh/iKrfJ4VtvpAH2h0ICzEepOzVp4Fn+xZGjXeZUpupq02IMCrWfo/jLoE9Q0iW
q9ty69DGYYSV+Ez+MdwBRGg4x9Zq/Sc4J2uDpBV7ZxIeklORucG6sFuQGDqR+tiWaHxh3XyYGkrF
mI7XZ9AqFSwQayKjhlKoY4u8DzPXpledUStlpkbrX7noRzzvJFU3fcDvTzSGIiWZ13dntpY+LmK4
7ZC5A+6qeLxNTTejWswx6PpYM6vWu/sejdmX3HGMJ+FB9K5FyqNPJmk2aORiLY7eUaljxpi4Codx
F/Kis5cq1RW+hp5sDtxI+P3KS4hBkTKWCEs3t4ZNP0fJUc692utRePuy6NC3gIbY6jSHkuEKQEr5
EJyiABtfq+tmY6dU82zAHoZW2KSXZdbaGzsYVjYDqRx4hz8Xl2ZMGFmm8xe24+o+ZGSFo0YZeo0r
EnJJrvorw2yfhHBfOGxLri5yciCIW6QJ9ap1JlSXSLaexNimkO0alVwL06A3VKnW3pbapBdUGhZd
x9Rbx+SQIcKq5c5N6ijeselzXnSsLAJda/nSZ3ymo7wmFavS/apJavZWU+ZVd/QqqidpDCEGx0S+
ZaRN3ZNcad6KprG3ybSIi7w5Vbe5CD8xdQvv6cctimeb6bkj6/UQzdm6C31yYMEuYsglGxY1WL71
iDw/9mNFS7SJvG1j1OXeMBKw5G1A9KlvpacpmVC0uqomVcWqh3VWzR8R45iHGEHoa1LjLS6yTNHh
8D75eGMoDkJCMm0r3ralLRcjMdRbVBtnr2enFYR2BjffvAsdD0qCquKG8DI7Ocd9lW3nuiazsWd+
CQ+KjupVMWrkS6SO9HdTZjpf+mxoxMmY82nfDz4x2LY3+6+4Us186wz+6G7JlUq/1Txk/tqWUybP
JOZOj3MZ+uQzmIaKtmAmyMByclW8Dp6rt8Y0sNObu/kRl5izl33B13HKHfBX7kPmadbMUBFfGTXJ
LgushV8wxviTvXYN1dJ9inLU811/HZSWOhWAlhHF8O3gXS3mS6VIEssWA9zKAadFyjEYV0J1ivqZ
A6knCCb1K9BJ+4Y8+2sQWvkuq6R/dpPQ2hXWQKwXaqDqg6ylfercUoDl9OtpA78wOlhu1D8NzTQ/
5FHfPKbgwCA1hCbGPSQgZkXK50TKYEFipCwOlgxHguz8VG8apFCIMyaLNbFE3oyupQhKmB1lv479
BRvk142zchIjgxako13jx/TSpyaPNnnOx2Dla42A0GvaYkd4kHzz8sV7yz3JH33Wn2tdBvqrqlxj
STVCxKS51MGZ73eS70g/vY/cltUrv/eCsNwTX06mNP3LlYSMeRngSzkxceN0cuC4RL0HTQN85OJU
T0kqavuIhZc5ws5wB7VSuWz2fh9vZIpiVHvOOjSMdmOMuStXfdjkFzfOiNdt2me/gTQBpgRDcVtK
7w0zsDiEfSDWSuF7GULUXf7c6Xu2lBHvf5ntSwByW+AV/CrkTMPE10+4etwa6GT3tD6+zK1wjqg3
51U9D3g7CQuFo7WnU4uhMIjA1y3+TnCy2Fw18JMiJX6z6qqCLOC8OdlBeu/BUtrifj5FjokrmKcF
Ez5d4S1dHUD+bSY+jTVWj02ZkUBIDT4Ro6eAntIKld0V+YR674Ndr1m8zOCLl6GB1pOQL7Q/5F0V
tN09sRTdK0L77IYrz76Y1t3O6pV/Qy03kKUaB7uSt29j9uJrl8TqEM7WSFAlmr+VGRbRJ3qwVPj0
y+VVZccdOi3WPBhMre/7O41nEWFI3MhsncNB6b6hQbLGrWlFM3gUsMb1vnSrhDXTluQwELJIggZ5
UPiZJ2hLbDgiNR+B7siaottkpEoq6Wqu/fLS4Sh/yr0+QoMZNOc29obN/2HvzJYbR7Iz/CoTvjY6
sCSWjBhPhEmQ1EJJ1FZS1Q1CLInYt8SOp/cHdY1dpe6usiN84wjP1XRXFwkCicxz/vMvATGPoEix
9mWqqsU6D09GtOjs/ENzZ2MBtcsrQ78BFnH56EYCXzQgerbrYrYtqWXluh5rM7upUrbpCAYfk55x
XSg4XZXob4Is8+Ey4+5mJUSKFsEayvOpm9Vj0Y7yERE8ofdNOCXuKiya3HeNGRXu+ISRGjyiNjW3
eB/62sL+9ypkyuUUxxdhCSbEQOc8zGLtUzNosS/hMS6wO4YwETYumMr5eR4tLoR0XXVILIinS5rZ
XpD6AdfIOqeCJWMmVjCbtnrLqYgq1COszIYxi9miRyAJ5H5U754WkZrIVEW7xgRzKre6loPjgGhE
95Zr2ZcUfeU5FLJyg0a/unf6KS/xIHPwq65yYhgxtKUcXc2d2R4aAqRw7XMt50EPq/pMpSFNJAnH
VelbgVAXmmVivzNh87JNvQZZfAisqQ+u88zvmrctFrnLoALyozX3rbV0LNkh0EO0AsZcW694r1L0
knGI4ZIsDITZXl09etOyWab9AiGnVmCdhJOalEKeR8g4MwSON/CSJ3tM3ed2itw9E6nyKoMicMfg
0z13TIjBuh0SQ+3YWpRQVQuod23WyM+IgkoKGS0vznVOOBSOgoBg0H5AOzhrvFvJkmDjazjTv4lC
WI8dr/CnQE+qU+oWuIq1sslvyBg0GTHUiT6vamJ5XmvN1qGfTSN+CXZ8H+fY2qHV1RrOndL5MiEu
ubGrJDtmiHZBTEklJydVPHea1dMd4wD/kthyvqhgTvarYpDAEJlGw7Qec0UEbFXa97K0PQzqc2G8
NFVong2q7THa9SLnkJKsNWCA1oQHqMpguxFOyVEQf9Ib2Z7Kwiw/MUQKnnD3Kwm1yYaN1nDnE25n
eu5QSZ5NRTw/BVMZPRehyas5ISf+bCrNeQEFFl+yZmrWfQXXNrBwDBINJfxs9S6WhMK4qDQhOFLK
ZAObcDyZs4eBELjNmggcAc/ew9h3qgvrk0a887k16tOVGgb5OTHMdK27DaywyYsvHGBmhzlGi2Sg
VMHLDMjCC1Bm9WcPc8uLmVqbonrOMKilAFy1Td5E27C3Hzi8ire+6MqDU6CUZ9igWQv7P9xQ5iUQ
ZLUvMXAP4jNoFGA3euD3Rki4JaTea3gcLURhphIbq6zyA+MyeMljCN5lx9BEV4WZV/dTMyiM3bHg
5+bYgJCChLErsx2yczFM3vlIWMZFLMrqFe43g8HSaK16nRjkt64wvIaNLwdd99s0L6/YMDxsbYjJ
O5gVMe072uTRXPdmTRdd5vhwbYo4S6mz0Tt9NRI13AJYDwcyyet7u3fLN7vusqtCL9KLuQucE7la
Hr4tVbUPhYt7sGn01snu2vItNdPFPa8vu88F1JPnRKnGRWLnKgfSXw1TkQA2gSttYTlnLFVJQJxF
woBdG8nKw1ACzzVCWO+QjIpPoZvnr0WoPhkSVLRoqEj6qZpJbM5CXLItu07RRw/TS97ICPUH2GlH
PQXrzwV6n8+aFljPln2Tb2kDuMld1VNgaE416xdJVAtidltDZ94wBvH1NLZ26dtMXdkjwsLbWmHU
XkYJ5xe0WbyVh7lm6eQ4Y2Zr0+OwMZuUQTSRsvpVX4uRsVXRmdd65wLY4bM4rW3HDV86VQUoJFXz
LPCvTnzY6NF5n6vyLuJBeVtiRsUjpnxq2uh57b5SGol+JeN8+pqExQC4kuEyeFa5+SJ/Mhssm1nN
SbODCrggg6oZnbUrC+dLV0q45RUl/2UYWMOj0y4nm3SGXTiTi7nSCkNehO50VIqEIybHw7iiteY9
oUbiFzBMMLAKLGuOXHDskTmO+zkkuPxVhUMAZNnCmXYmqCKGsUdjBSNPeUI5O0s4AiokCLa5im3F
wMPiDx4MiMAdFFSBwUcVWjmTDsMt242IYqCzxki+Bo3Izl0R2+Y6C1vEKq6ux7j3BvVXNbkTp67A
u7VndDNdpqlG8vLQOs8zJPcVQwyat1wFeXqmstR6TTLI1JMSBQ3uPBm7qc+LnZX2hAEm7bR1UAcz
zPOK8wGHhnrjMkw7OGjVQmaQHadJEzRf56TCfa8yNfWUuFHuDz3VRBlVJ6vHY83GkfAigW11GGZL
y2CC061hlqeupokURma19PgTMh6E7Svym40dvQ1aULrm6lR7vYUCK0viQ+TZNxlz350Z1uFDlOc4
c5uNRpAz/Nl+y9w+2haNeLFxj7zTnER81fAhWWH+gn24Ub5iCZA8Wm6UoUEeSgn4K+pnyWm+14h/
us4Q3N6FCDl+QcRYiBY/Ul6kvogSObix9xIfOahRqrswy2tv6ekZntIxH1xCyG6ytsK8l9msftMb
WvKo9z1H6c8JE+LP6BJQUJiCIiGDePOB34NVkgNpePR2EyYHN9KpFNq1himCztjeGlDFBPRkDMb1
pH8dZo4U1XX5tupTY9XxZMkdt9eelwN2olYkWJUBUzE61nagjGfebBqHIkRUtTJzWLgAqDa2Jo4o
LwaRzFdtE5Om2TOqsMEGLZha2bojX5Z9hQqYsx5VUtml5i4fU20Vww7ynYC9rFOdoEKxH8aO5sAe
JuOAi+jXpCjFWnP79gyjVUheuEeVK5oxqFKjZ/3i1pl/pBFKCWaLMx+aWYbBH0hsOUuJ2yeo1uFQ
0jfoByHGqYQDiwWhAWVpmOBmWJK5uzFhewSrf9rKDB0ni6mGwET+ZijddR71aG+63Nkk0urP9RKj
nnLULke9o9/NUgpgK8EWJkEj8vOnvxBJPy49mMeQPpfEC/g5C3PuO7JMzFlS9VLJna6q5N3JZ87W
3jxGl7PW3hlj7/g9hzMGIE10Yeh698bEqztX+sLWA3CzDXLszQYTIK+At/Hzq/sjbY8kIkFElmm6
Embqh/sbguE5BjaOu9QAqGIUGcq9HhTqF1/zQYq/0E/5H0Kf5RVgayeG64ebUDEwFk1QyR3jTwKt
e9NFETqozh/HzDmaNPDskWm1LoyANNyud+6wrm1GH2A8vYSzI2+yyUuhzfCyVHaR32DprBOLEMw4
P8X6Q9Wmzaef3xrj471hv9YN216k0sID+/lA01wCfAEkWHt9Y7IpzCY5sK4OOJgEabUC9xefZHpT
6nH5OZtBz5j/6Ouox9tkEpOD0jSeXu1Ejr97Uvw/SfsXJG1wIUTpnmFi0UCwi40f1ncP9A/pNf7L
q3p5T/i6fiF07m9nL/1bFv/t35fIr78K//rTr/iWdmP9xiuyEPkES8LlMv7pDekuOWAGvE2Xw+Vb
Yt0/2d06kauLBJ0/4LIxyf0vdjdsccIO+Tx+zvKR/zN3SOvjLvN7EBgEXLQ0ps27/OMLhnH2kIQO
pINgeCQ2+ko+GNtwG1lrha48WBMpQLyX3txZ9OYrZCBz8tjU8TbOnwJGEDH++V4vFmoQ3JuedgzO
SbPqiLyB6tlXeAg2ENm84zQKP6pCNIrxUzd8wfgbdJAGR5/vLUKGB3O6sSK1tbSLyjstljzo4h96
8zp8jQq6A5tReUrPhit+B5nplBfEnivobxw8hnNuJ21OR25cU/74aCpxL5sQB6YowOiQRpFsbW2n
O4naJsYCGnTZ9RhhYosVbDEcdVk8Nq1+m9dz5MdIp6GXTdWmcaG6FF/b7Mbx+hYLu5RyBOQCj3yE
gkR9QJdxzYORJCQCzOcW3G99MrHYIZNHBxp0crz5DUiCVXWDZgyEIFR+hy2Uk+iHzCD6oUqSlWbR
aXSCUr8Wn/VE2/GYNn1JVAEMvATJsmiIhMWfTZHVnTjKJxkC+4D20DrWtRFYX1PXOYBhIWieJntV
GeYn2DePELa2JgBpKNCwQRsxVksE4crp+dQwig8hY3HaagAr4cXXNakIyfgrG5U/cPl/jweDXor7
qfijdiDt9WaMS01uxjl/VDgOroVoDihEz6LB2cBzr7G/cy7atNhl1Y2NHN6GEtUCcPqTbvWrvAGR
CQJ57sTZWarpW/SdW5Wk+AkG1sHqy+042veLNnGVJNg3W6hOi0sE/TtVFZfGhNzb2xRTtarIaUe4
dOa5w0YZ8rrlERK1cRLKvrPTz+CsuEbaa8CfbZikmOxHwJYkpgyWX+JDwCbvm2NJP6Od0UYdlK22
vSUOky73pCRdESSzkjgD5FH7kMAmZEnuZrJbjS+OTaTG3F3Uzowum7wTGG41XQiuqZJViayVao3Y
tOLKrbOdFmB9mXvHHCvJjEI3HBraB43cs7Sb9/iRbjwveJkqe1sW3YpeG5NnnfEINi0XbBdPphlC
WnswFZ6DGJs3xvBQjF/wZR8voSeWTBgM93MdWETdRtmzxswpqvA/ThaZoyO2hkOlZKlXfeQa+3y6
CUEQV16AE77k2LyshyUVav7y3e56+L2W/t52w/x4XC6rxKLERqu4nPPig+vGTD5TqpheQhpK3xD2
PaFh2wXo7xn6rBlMXRju4g2YXs9dfxM2zLiG8Tpm4A8xElPvmrGLLRM/aapzNcubiNG9itu7xpMF
rS5RSlF/4uj/xeqmkvxYn7Fz61jr6rjpkyL6sTpvqjqrekR3aAUVRqimxYyJC7bL9UjAzUqRxxxk
kbdr2RerkM4fS+1VbXQvpgv7sdjVUba4O8zMdeuBoArXZc2G5qY04zO3S6COOBmJL/09GyvjUsaC
SXdfacbjbIU+0X+voT3e52IJv/Fav4wUCuk45YudttyMIHmYE5knvYtINWpbbc/AnajRRXKaVcNd
1PeHwesuK4e2AZP/q4jUhK3jyC+1O4OEp/2DY2Q3qFHxDrSrE46vxExY1cPQaicJwrz2YufkaNl9
QwBNTkOiekYWtnGCzrSLUKbLgisIoZU2YjUTCNxG9qchN3ZYyEl8cY9DpJ1PsQcYM2wag4yOYa33
EVo1+6mAODPEESZQ4ya32ytdiw9Ny+lR6aaPWORMo7ZdRV33lKj2EaCQfVw8z2n9iND+pjMLDGMx
+6ROPrMSzONCjLjq4t6OhjMdy5OipQvXq/sMOKkzLd8xed+xhXMS7xAW+nlZDYdBECGRefc5rIml
/vfxCtlIxjoxc9Uw0rc8+r1uQP7sF5pd/JSNeLy73aaFOmFPV3q5b4N500z2tpUZbBMYqM1zMt8H
5FWmsedH3aUkVzoBMqSnS2C1o7xPAmNLYtqOwOdNNBBRoSwQ/yhaj61z6GDJ1Cr5XOfMDWWTYEVo
Qr2YkUetEsdtnxAa35ahpXDHr/0CwATZeX+IbWjFGfCKZp5iLz8PNPkkyCoJtPKVcEVExvhQkJ24
L3gNIR2Xh7ZOzyCVbpOyusex7i4Nk0tBGguJYA75WRhikFHE3299WXbbhoCcIGwKTqbnxBzOLCLc
8g4OcFrEzKhaoo2i4jls7P2orE9ZC5XDdp7tuX4YMRghpQ4mdwCf2bQuaWedzdB0ziozwktcA1zC
HqbJV6GXbWwx71OSNmqnvIGyrnau0l9EM2cbeMZ3pTW94BSDG0XXPusZsINRQIaI5XRQon3sZ++i
d7F1tMBatPQccOuT40Kja41xbUbJA1PW587sLvVxPObjDIO5yHwjs860YfRHXT/kDmizHXzKyeLx
FOa1Qt45nYZ1zue5ZkQFW1YG0TXOJrcWaUwTqx25+mmOsZ/ljo2jvB8n68mE3F6287ky6rtAO/ap
d5Kz/mXEoRWXn63R4fwhMMfLXQaGtn2HqSbg2QpPWaFdK++6Mq5t66bo7oBAD4DsfgcR37Hu+ok0
iMR7zNH0p1Qd5dyu4cXAKB59M3mDck1sprdJm2dXPgyIsuNRrKzsJGM8vs3PXXjvhuTpeArazS0D
jRVznbuyM1kuGiavd6MJ0BDNNHngfBNWHZxRsSPOlbu1Rb4BLF5JkGVc/Izhq7Qxp3Gt57bzVs7E
e52ajMgO+Tis3Yw8EujY7JVPJNWn6y62/TA+DgR/5d1pTPDPrORxhBK/BcU8apVzBkvjLI2N134g
gqyTsGkYhfnMTDEEkYNvTjUjg9I7h3XpgsNK6L5h/inG1m8zmpN41RSDWE/z/BJbrO1Qzpe2Kh6i
kLQH+q8lNe5zOU1PZTo/zGNCsFrrAsQrBEiFhZdOm8KpyLwC+AystR+Kr2U377zZxYayWTk5Kg3d
o5wKo/GeWBpQGJ1YGR2Di2R4aYHtOkNBygrIhgQEB28+Ily/kEP05k3dgywYtNU4XybkWfhlQ2ki
wfeQNuuEB2j4j/TtQ2bNlHb5hkJ9z7z6RDQ5uPcubJ0LIWArleoKQwx2X3EV1YQCTu3Os2rTFwSj
wV6emJ0NtuYPtYz91lbamvYUHlbKHPtfozkwIcNRplW4n6QmWAMV2EOs5xi2hMUqLyGzhtiNkhpx
wb2JiRQhoc6siFUtXbddu0UHWU0jClPkzv17dfC/0LQuH/G1BLqPgaSbf/z920cu/dwP/7B5j36+
ZSY+3b01Xdb+4++/O9wu/+V/9w//9vbfCZB2CUYFrfuu/vlDd7krX74XAv/n3/jWLIrfsLiwcRwE
UXFc6dD3DUiI/+1fXOs3Bx0YIIgpFvnU4tr2rVk0UAkjOZRIxZaG0VkKlQYv6+jf/sUQS6AqxYlu
CYOPQ931z1//rTLjxv2l3++CtfyAhXJhZBl4yHLZGhFt/tgqmi4DUjsbhg2jtRIpUTRvgwSTGMMA
MNbyZPyF3PVja7rcCNSai+UkUB6lx4/fl4UWs4ZMHzazwPELf4ITBiMJxoKMbL97Bn9Wg1oLlPrh
t+EuikAHyNB2l676B5ypc0AOrCgaNjjkEZCQ2+xg2DoaKBbM6ioNwv6qm61kl5ltQZSlkq9OVvYH
6IzpOSlvWKyQ92xc6BO2NBxBDZhYKkP1JDKSPFfINOxrBwOui043m+M0ICdZN4bLcZqMXoQJzgxz
lZl4+aYFHV7WXmo85B7Dx63lQi67bIXSD3FmNuG6iefAbxNXvLVOVG4ab0j6tddAFOxGLXqDjgiT
BAstvwyy+SBr4FFYaVO4q/sODkHXkpGDtOeyRlven9UChgEpoXD/Vp2LzQQOk2C4JqEQUELCzKVd
9CaX8VaoubtqtojrzLNEq9mHB86sRii8VSy3V6ccB+0Ll4BGN2Q9GH1HGI5b7IvJeShQi1eQ4SwG
jKE2X8aYNxxA8PDaNRmNBIizwrh61nImyQjhbhMxF7sCtu40dopUImzc6goXYEtqaj/hArzGE6lf
B3ASqRQklhQg5QzvUzvdGNBTLoiWe47lkkc0ipSTIoZI6yLXHnsX39ck2TKoXhOODeXfoK2y2fz6
AAVgGpq3BshHY2p3E6GltsEIyTHGaEeWh/BhgJ3D/8WUobL4ekXMtG5g/ZzEGKF1Cf8H4qerD+VZ
k8GK7DOsPcqogagh+HLTyXW/93QiAqACdKXi1cE5gNnoFRHCqb8knA8BS91oyLtDn7GLB/22TBXH
GXc0tfC6IEPyvjXQsuij+Wp3wd5IXYRS2HlkRr7DXMRbxUNYgftat4GVjsyyjdfEybcWrmFr6q2d
pScn9OXpJg3Us80/MB+6tqzkhF/KPm/Di7BKDXhli5VnVN+HjLo0Qqa8qce1J921OCRHmYo3RAWz
7kbPZDwfEEa4TyyBv3LCKPOmbu3rWCufC6h368HCcNsaskvEXm9OxzQwHZWzxUKmYQiJT50MsUXs
20FusNxJ6RUKZhGyBisiA9acCKGygvEYBc3TGJoLbjA03IwUEnCgPXDA7WGLvJfBAYz5RQjilnBj
g2I1OiFDQdyRHGU+E0TIDwi8lR7wddkQHxEiIMjQ6IfoT9ekzK2g9PVr9ADgRmg0z5uy7X3V2AMB
R9FthF8OWYwEDWlZRteV86KmtTk/UAX04FzuA2c+rntksPcFz0Ho1VFicfO7jPZ/4UT8/kD8x18m
iv/wX/0fCulxpWEYgrPtr91PwWj/E6G9jr+WR+Db8yZ7KV6bHw/db5/0zX/D+k2inUcYaOkQL0Eg
/nnoSvM3lMdY0S16d9cGvP2vQ5fz2LVxB8b2VLhMyji8vh26zm9sBZzHC7jL6I7P/Z8cusaPluF4
hOlIwLkygyvD6plP++FkYkjeYMY4ql005NYqsUkCrrx0Y7nsTBGWoVt8fk8IL9GXyfRYGrTSEvOt
dc3kbopLfKy8ovGDcbDXwRB/6kte2+9u8p+cnh+NepZLxCREX8oC7gj1xo+XSCQLJ3kaqp2XByNO
OSCYqJMtrBnlvkcFIazx2mnQA4Qmby7aiF8c339xAQKjEm6VizvHjxfAWLbyBszYmBJxAfjD9euK
3m1lxcEmqisTMVIAaChp96O6Q97Hdfz8HnyoVd5vgQPnHUgeTMj7WKs0AuoludP1TnUhxoWG+9AR
zh3Xxa+MxZei57tC5dsXOXwNY2l8gz78VKz2kDxMZb0rSsxj27CVW7etnss6l1s5yXg9OdCCIQvQ
+sH/WSPdYEQ+mrc2mU7EweFGamlW8NLANt8otFd3FqrQ9fJe7KQ9qvOuKKedykW60Sq2sxQ3ro3t
VFCxur7dkHRA1deZhxoIkfXHjZxq5zM8gnNdYXIq4jq4CAtOO3I3pl1jz9HVFDzOAzhVlM8PpeHZ
WzGC4GEtdjKsOd00fXYsNIweMxSHAEVvJNXcWbP79PMntFRwP944XglQOp1BBxMUb3mC341T3bnA
wjDGj9a2Am9DyPbnJAh8qBztOjBN9JAR2Ttu3cvtz7/3o8ETT0zYFtU8firm+zby4xfTzbpVAz90
5zVRtoF9SXqbN7eAN9icUOM2Pjm1Pemnpn2Jj2AFDYJT0/UKHiiUJfiX4bbzqFdsl3eKqVHqy4Ah
RVkPEwHlQQv126TexAfqV5YNJsOpDzdNIPNZJrw6ultG5T9eu95J0U+QLnaMowq/1mz7EptdqqYe
KvzQlZvUxZy1BeS5pvQ47y3jfIkP6xBbcEA64HvLBiTGLRooB/bJyms4NTGIbXx34tfgDUJatjV/
/fk9/+OzFjAQTYp2NiRbSE6N7581fneajsFBths0Za3gXvHFCLx+v9HKqSCpdtRnsPTMX72ff3LD
sBNcbGZQdv7BzaszsffrpEKX2DfVuofZCKupbfyf/74PkPmypMiSIdJt8UjCsOsDMaTIsHTWCMnd
RZNbgIORfamC6PjzL8Ha6E9+jMDYjgGmQWKD+eHpl7lCf0LwCfqS7BS4JIrjqEjxFOKwvMIZit+m
DZwtfdtuCmMmxsLOTkYo5lsIa2QSdxHnDkWTIXq5zkl5wMIAKDZrWOSI6eGGA+wCsngPmqNNKIzc
a3Oc1Hk8dB5FIuV7b2Ryq1kDMCGpMhvIcjt9ZH/DfcNcx7XUNmXMf9ZEtrGnuyNPvsMZWwb8fVF7
mKbO9IpwJb1VPY7a2XvjWpmx3EIYL1aRrMTWNJtPY4vttFkRChS0yREw+2gn1m1ezcFFUCVyJSiP
ldlR1i+4JvPCM22UOox4XW4zPHZVSF3ZwQZeEX9FO9Xj3/nurVyEDZzDKjvCsh5XIg0fCdubt30m
HyIWB/biKddt3RaxhNeAec/GMltUF7ztw7J7w3lonqol5FVoyoP0UGBnIPiyTCbixdCZbSkT/fpS
zjbh6PlWXZuI5rN6TY/1pVAIQ8IuN+8Q31M8xBiTO7OjbdwsOUH6hgQUYjoHaxv0sW3vlJm+OSmn
50DmWDigQu+RJOMKUDWblAPExxIcWwKlPbs6cb4iUHLNLMDzbc8K1p2AKspeVuwIiD1agseBJXhM
3jYncDa15AiKfG9n1X1iyIe6yXNeQ8ZsaeBFO4ofi4OFWXJm8WiKRt058QwUVXU3FBi7wC2OSmf6
03QV3aibIeEdgSFylChrWMLO2sucbV1nJ5TKzAPqHgfa/nLO0xNdmNyNsGv9UPBDmyG3abWvYAua
a6/owfl19zoNStqxmjMArQe9WFcTtl6xzsvlyJxK6itg1WpNNueJXpgVy5MFsz9hec0f6bWNeBqO
eIEYaWWKvPHHIDyVS3piEbFb4wTp+YRg70dUByuMqeFjzfnRKvPspgPBWTu95t2T3rWdkXHi0I97
w6SrSydwH/Q24zdSnu6dhK76/cFQGVw3jmo3EHD69fvanQaWjV5JE1ofDO4qio9eQM1oh9YtJkty
107Z0SPkdZWywo2WV+N94aqZ6w6KceuOuLsaubObFq9LSSGDlwmxussrkLPCDMO6beBe+vBjWZGi
QoUzLsrgeKk2ND6vzCtr5UWsIHTmiOp0XpeqK0nbM/toP+hMv40B84HKY9GWbXx8v3AulyqGhJFt
onGmEcmhLpGCNE9gDHLbtTr7dUVwWuZGFQpFieNHz7NzJ5luZpx1DOfdnhwv3biVCZPsfo8xLIGM
KSOtsaUTzNnAtGbZsFwggpnfwdJNf3/AZD3fmln9XFa8V86YnOrFwAT1+vF9u+jc9NTi7YGPC7eh
SEK+oKF1bZcOv3Ig+CijpZ0fuIk0A9RDM/UUVbK76glqwuQy2Well/ppza7ERoU4bK6ebbPcv59O
6HLgZuMnswW9DS5MJzlNehAcTPyzAPMRMCzsDNUUwLsYDbGfvhYZm4llsnLRk+KX38RwaXmPhcbn
9uy1qVPykEZ7h/Dy2FJfLdvZhJ598fO/ft+UOpvtBWD1GQCKg7FzsOwl1azO7Fv6HbyRDV4VhP3H
SYsBZSygjqzn4b53E9FSsDixpeGNyWIt3ev3X4gX9Wl5JerYvl2OAtcxb9uKC3t/BpUpMZQgjl0v
sFZNh70XJjYIyLJsCjRSgWljymOoZz0RUG0ViEQVZhs1s1QUhsS/73SeYDOxSSEsJ5sdFSRrw24y
3DTe1G5Gjfc34c1EpzXztzyhncGXCC7a5ekQzI6t6VzuQbV1H6Md/lU1jxfvOzEW7RRiTpj5Qwwm
wRkPbjR7D26G+/+Kv+FwJd64bRbEwsOuhlXfVduYUcBWS3PSJqWe+p6NhztJQ4QS6Nyx93PFSrmo
ZimeU8cGXQqYDaGyQ73HizhxI5cVNs5sxvgF3NrsNDjo8qiGkkWnJBtPVrGs8gVL8XoejSUpKJan
2yTqOSaBHN0+uz5dEEPlkA+se7qC9/03W3ZH5HWgaalhrTRZlmd10rSYh8dHJfmCMGJV2x0vkDun
e8fhqk0G24SZGimWHpTDXZxkm4488SstyKZHoqLLMzfn7YawY630MT2+r5WizY+JF52KeXxAyzFx
YCggpJ5bvZw2gWRfTBkIEXPRplej65Amrjk6RtiZibIHfoxtItjvqqLeuj2h0cJR8fUQc1ehdFGf
Q59O6jo6g+rLgYcZ+jW7ZH0Zi6hFHgBm1NgECYxWNPqdMctt2jHvIjuaCUrdYpLRDKjmg8gmD7Sa
wyO512CLliFiRrlVj8lI3OykG1FqjOgc6/I5UEW7HemsvmoyhaeUJbj0F+noh1V7n+BvsKPPiX0z
MIxnctRIjM2ngorYihnuGoFvWViDhFm9tWfaJDg9S2lQ9eW5siMX+/28XUjb5loMRJqmU12ee0sD
l0bUyfWsri0DwZKLf/YFUqVjp+ErmbgmGpGUvFM8Y5ttipf4JUYtZIkWbPZLm0fcQOpHBop6jvdm
a9tDdCa1vL6O7SwlWTOJ10OZAXmKXF9DSwLIz0JBjVL3NGhgwcSZoNww1VsyU7C1PVI/o8ZVTA/I
jjVdgZasfs4WqyjZYcbdY75z1eMFtUo9q9lVhoIxBgjI1yd8WMuHCSTujA6hrMSG0W1VZ1+AnX8J
s3B4SzHExzTFC/wBdceaBuprBUknCaev3UjxrBmMdCOkwuiWyNvWakzeWA0Qfpgug8zqIG+ihD8Z
mLGD8QXz2gQQ2YL2uulD4VM8HzQij9FWUCbqBK4yUMKRgmcaRleEgF7GJfuv6IdHRBEXysEA2ovz
iq1ce6scFp87mCmxnQZ+dZ32YrfsukltWOftLG6RtmAJpPS90qzUL0K2TD3pCEGJDe2sjiMdC4Sc
t3bpfOaU2YWOlzubbXwyxlJuo4j6yWAIisVSND1araiXJzwjVucEEoUTnIYE1hTU8OxTUXfiUsz6
c2+yVWiQCYoAiCNPa/U1nKVge0PryHSxxciEIjga63k7pFRMOj0cOnHNZONa9nGhpfsFBa5DNgeY
rFDxsHLcdZXiby0dvS0p7lyL19RDsMYhY9xaI5PhrMAhHtNF0maWJUrDvBPDcJQ9lqRp0d9GHism
kAyPtQLV5sxRsFznAnkboA+7ZpHAwe4B8qXM7ozomNrlM04q1Mi2ftswfF210JfXQ9SMF+9jpVh3
8Zh2w0ORDftqMr7QQNZbBJrqstFN9Yju83PCmRa2uFKak7wYFJsaplrpVcLEc+NRVeFD1FJdL9sp
cqf5Ku048XoPCdRgew9AzkcSIfYUGONhdkdFFWhdVYq6Br/+vUGmLn0jcTytOSAYG/N7aQ6b3mT6
1ZoZvzVWzrUYkuigK6P6HOvce4wm2s2CzGeCFVZlrIYOPx4KLO5pjvOBHwnX+1RaBbZoWjw85LWG
Zkqx3MwFvIpD8lhT2ETTgoUHDXUO3IbxWkMN2K0cuWzSOd1KD8PSt5uWGNaBGtOc+2pXxMmqLlV5
hl5oF+hdc25IJhNadAo57ZXiHGoK+zq0uM73E51cgZgzIjnWy1pFQ0EUoCB9JqQmoLk2N4k1aRuN
C8Z/nzOzmEr8p5euZR4BiFzHxr0jVM8lgRTrfuiGm7DilSLhiYeNHHfXdlNwMYFMQtHMxpvUadO7
uuuxitONjRYy/BndiOqOjn7zfsoRnVfs454RixST54eeNPZhxddkJmt4jKz5S44U5BVfCrkGtWAO
IaHvQUYhPEFjNUkM01+yoeFTVH7SZ10/5piy7zNOvffVT78JUSdBOirmEyAEvypz7rwx3jnSvC1A
7c+agJMrqbS3BaiCe1KfdaHsr+ARAWymyxm4DGW60kRITQ3FphBWt0rC2RGtrNZk4yVrU49gcLGN
AUamCPcQGqV2e6F1c8yOW11O5oyBfc3XL5q3dUKAwSrWzJtMoTrsBJNDjUwHn3xuuWW1c8R1PKK+
ELfvZ68ceU8jETz8vPG3/wxecBbdiUGSra5/9OT9D/bOa8lxJMu2X4QyKHcArySoyVAZkeoFlhIa
cGjx9bPArprOiMwbcftl7F6zeWizaqusJAnhfvycvdfukx7TdzKlOw0qnp9aNGxF236sFE3BRIe6
MmOe4ldwl9uZ3CEkdx1LjXovqg9upR51NzZ4hznoLmVG5+hoXh3nMe3DO90cZ9AvqPgJj+7gYOgg
EYb+TuYYy5HzUwC34dO1kXk9IzEP/46tMPopRzBHopX30PoLHyy7cTblNB6lGvPzktzFoWQpSh3O
QC1DU85LKWm8raD20nTjX4ewzrDch46cDZSWp6KpvLUdLlVgtMwHOfP6InSDQ2qgCXr9khp/aqWQ
qKabDOjpClzFhL90HwHqR3nIm7ILGs6U6FCDY8O8di9Nii4Sld/H14V3ASjCb1xOSRSNr3+HPzTF
YEDQZbMNIrXo5z5vioF+rURspt0ugRnMhHOO9g2CyW0kARJA/QRJJ3udoWVsvdGuWjTuL9uIHN+X
sDmLBYNe0vOP5s02wIl43c6txn4lWNR9wInGQzzI3LdnpT53hPFuAn3GeSaSu7LPkT0qczehoP74
+mX4fZ4CTQdJMgwLDPToN59/FzReuorKId3ZyyKwNAzslleaMBRI/8K+j0NW19c/cvl5z1vPi1xf
wPPFGmJQeD//SKtodY6bIHgapJqbrJrgQYb8k5GVj2NT9wxatQHLSg27Nezz/euf/oe3mTkBXwCS
+3WU9fzTcy6q1TLm3FUgXPyUhs664EDxxhP+h8tKl9kUkqiGP4yp2E3hlVNL7GaD/IEOUJkPD+cz
g/ibxgOY0xIp8frveumzWbqgYOkJtqW/bTD3WZ66X96pCgozZUneEi6XNCeimUn5QShxYEmglTO4
j8SUkfCr0z1bRuv5mME2GQ2F77jCEtfH3+fsDe/PC4nM9SsxR0S5wsNOE/jFw0UKWx17uuIdS5PP
pRLTj38Vvyl5YSUK0TcA4C89YnyegNN+9YqQwsXB/Pkl6LBDyaBIm50bOzc14Hq/0ESxKQObFCeq
ZmQY8gsalCcFTzXTnac6ltqqj4dLZ6bfW3cABSHi+U1tNB/7/IEXpBIIBEs8eYa8jkR+uTOWO6op
dMJml8N5RvJH8SwrlhrC39gyTfMAR+gc0ST7YLVKLVQ5Ktoop6WLaMCoRxpT1HHolE28teXCz8Ts
AKUOyEqSfJPNntyp0Z9tSpDWOVhoHUxqnC6M1CoPu2SjteEmcujUOHNIcnzBbGmZOhINF5JttCBM
8xZjhrWcrXXUw1lQkFUKB41LQytrGdtdN7Zk1uvD60/tS2cit2yZJOOds5BsQYh/MSz1jH5sORjC
xgs4LkyiIu6jDUlNH3L6Ys6CJoqsmNZBjsiy7/Xrz6S1urazinA916FVG7DTzUlNNo3eaRuBFmTT
L3XznFKVNqS7XWhJQKB06YSG+Zvr2UtI+vU3oMOBAS8kQ2n9xXyFXgbrfE2xSVFKEAw0Up+eGkx9
p0ZESwBthPkF1Ha9MRLEq1oGQnXQ1RvL6u8zV0egepOmyeRed+wXV5JUe0v1TljtEAkezYELs6he
8E3KNz7opUVh+b0OM24PPozumM7LlYYpSADTJFXQJukKJtQ9xoQRtnLa4mc2o+9xHLpS8dJdrsau
XKGk5st04JpIMA39QUVfTY7wcFWJycw575EP9vMqwimXM2PB4Z3+9rm2mM1bGW04LeDs8vqD96eb
xgCPAagAKY+c7cXkuODkapJQpnYRTHG07eAv6mJEqNtQdcJIA80wdN+X89JVPNNV0U/yLt5YsX5f
IB1kEcwTLUSMv6sZMrNrHGUYaqfb5Q/LmwCxm5IOcoYYCsTDG59m/l52OY6F8pG5r2Xgvnu580KI
cJE0KuaXwxKvCU1hGUtCFsKfYISCBi4F9dwy5ED3GN5C6vlYjmV6kTnFva2HX5VrTJfMruZ9z8F7
ldpYfm0C9HwtaPpLYg23r9+m3/dRvjERIxTEkhX9pZCgFqOTN0TX7RxtQineqNbXAExsOp3zE61s
FGR69sbQ8g8FP5/GE0Ewhc6y/fJNgvbuDmVllqQz0tisSsvmID6Sg1na4wKRpp8aFjknWhB4tKdO
nkWjcukZ0m/XNrlZ6n5c0EIIGBSB3+gRYAvLONJawc5ANassjpgQ4lPfEu1Hc6beuvZECoOD02Iw
3rbOsprFgn7tMn6xzS6+J5qTp7O08IHMjg1LFLMzqdxPGaKrFdYukK8AfWEZ5WobOUsxHwxE1C4T
SoSe9+NAn+Q62ygzoF3M3L4tJ2EZt3zcqDOhCD5b2jiulWqG7TzzGL5+K/+4bEiiNwwurk3Gz8tq
wJ3jqAbjtwunNrqD905TgOPL1hR2C89DkX5mc8hF3/iVtjndbMGNxrns+kNnojmXNezEiR7Rda3P
sTkc4omU0JUNHc1vW/PTdbRpK8ND85PXx5xx902UcBNe/yW/F7BoY6kuUDOZuqmLF+t9HdqMYGun
2RUOm3EHpGkhevBK2FF/CuHGrz2S6T7ZbuD4aEHTN/ZM+/cS1jXJU8ElS8FuGC/1PZ47pnA7Cqi7
GVO00qzHOwIZscNldMIt6EDvCyXydWxF6aEDGeGnNjvkqNHHjpd/Eim8oU53QG7OPKbsXUyUHAZA
crI/60Z3TKfyo9bQfL3OH2htAEOmUz3C/g0iZJJqmQYImuwJTcmdni89vnFp584qvse+Zb/XM+Er
/IB1TxiekLhngL7QtQ+9n/yPoUem6T/QMWe7wkVgkzqMG1+/SX+oLFyy4QyAqp7NriyXq/hL1dUz
qysSgg93FUOK64Agt5eRsMFESOGG2MxtNpCxOR+A+hG/EFMxwC9ieKAO1zHMrCOqVbWH+Rfhabas
b5V8hAWBXaNVnwom+n44MYtw9Hzavf7tf1/3XFNSUfDe6xxTX56ROlJzG1SwJYh+e2cEzBeXpSKd
aEdeu1FZkL+x6v1WPOPKZh2wOJThp2Zjf7EhRgZ5nnXKSZDWtlpNqkXxvEzur7OY5np7O4ZCPesL
Sg5EI+CkmHO2lbuyyrHb1ORbbARilhVSjbcWj5cb5fXLCepa3rdFNbT8+19uppzcJNHSIt3FUYWA
u+Y7kGrLFIBxWbZcldcv/x8+bnnFUSpZWMHN37adVAmyRct0N4jlqUXDOmkUVHbDs8PZ8a0Tsbus
GL+eEBzWOFYUFJ0I2QxOjs9/XlT3TBvrONpFUSSgF/Y2ayHQodH2toyaPKDDKRUJ4RbsGZSh+1gM
YBkNrbixS9v5MNi5d5f0wFWt7raRLomNspUre+irzcA76tNdaU6Zi88SXAm+pLaIz4WVoKBeEDnx
3BbbJuYvj3tc6Myu72Pa4YekK4wtll/oZKUJU9111Z4zjB2ttTIefBtw3Fon0RcU1bClI1lt6rCC
iWeG1hEtB76aLr1tJt1eL/FaO8e0uIYIys+y0hIfpHx4W3BO3s691vtZ4RL4BwkSHpT21VjUdsZQ
dfdkmplbeEAJlFpOagH8QtqGpHZ01NzzKmZO7Rdpbh0RqAp0YCnuV5lXxbZQdnzskhpHYm6DHh20
wNpZDuk4Xsx30FQQ0t99p1r7Fg+46Wt0h0+uJEog1WbjczeQJNw6qXjjRXvJGAAS4lKEEanEcVXq
nNef32xv8UtoGbs8Cgp3fz33WBmqkaLRmWxTSyVmrt+qqip2gRrstTVP9sZUyw0kDNTHB0EkQNJR
1zu1k5BoEn3LzMTaukgPsVkQ5ip4gDaT5oKbZoFEO18XW4YI9nrpSmxda9Yep3Kwz97y1ydle9tG
5qNwUJsMpDlsPNFZm67OcVQmjftGw+nl5oXsjxeKN5g6hoXmZY4kKyd4lyp1iemcSSmZsAy8hbt5
uXheP8JBYbh4qUFKvLjAnMIEjYCFNAnA2i972q89eH8/VTNiECBpXBvtrVPRy6KAD2XtxFdEh31Z
Nl6sUCFZKomM8P9VpVNtGH7Va8zxFWM3/AOuxUhPs0RzKGs9WENubN5oa/3WUiWebimQocmRTmjR
cXn+VE1VTiJqXsLIlArq6Jg03G1r9pNk+cBAeAfltaTYGeYjbYd0l9myf3p91bwq4J4tY8t3oEUO
G8pF9LsIxH9dpXltamch+G0TmWp+P1XNPretmoO4ThpD3cf4hXO9+TLqc3DDhbRvyhHVKVEl7juy
Ymc/6h0ynuAtbbt8Jpq4MbmUVUN1F8FZT6P6AaxDcxC1w89pATFWlS3Pjhqq9yacYDwOhRHvwKve
WU6IQbPXsjeKL2HyG579RgpYWqb4yiwa1+zNz3/jFLegtthCtx1v1Xmw6nGrq9BY4xTuj9cf4XVR
dqcPobMESxtrBo/BGlPr7GdQtNczJZgPG61eW1EQ7r0wcn2nTDTea705jLP5U6HF2Gu9RELmgvmP
Q+s+NXNro+q4P85z1OyzStYoAGZ3J0enZ6rdbDSRJKg5AM5nsp1R+JTLjL3QtrkyZ78OxCpUEdDM
umpuRv7LrZI9EosofJg0oeEdGbK7aVYg8OEgEG55FAP+qNkmkCusov5ixk77USuL768/Mi8z0FyH
y0kTHk2lQysYX97zy6k8L4hnzk3bMK3pnXRavXaS/hyHw7s8twNyX2xjO7cGgQZywsxCx2udCOXu
UxdgM+gsTFzMl9eZx2uWFH10wgerf6kWZKo+e/OJv0Wee2iETITtYk8jCTpFGMldqvcL7M07ccrT
10tmFAOVxt5WZlUg6jPrtSbL9102dVuiHB5zGtJ+OtdvVTZXoMPzB8rgzM0bawkQ/rRLn1+BJG4n
STtFgMll8ybHwfpsEkyGWcvmESAtydx0JfHa7UDiuaXlGkKcKjqREO/uJztWPmkG4C/INnmC0YW8
I+a1S+dGpCtXJFA5B8WDKUPNrxHH+XrNMzK1JYzKGJxNp7vGZoLrS+wTSQ6m/W7orY+2BpBl8px3
QRR/56wDwo/51ClvNWcfItq4hEXs3rXUkxuiDaqN12ccx4tI+TmUxZ2kN7CzGfltGUzyoPd85Ohl
1hs9nN+qtOUsaSy0oWXd+a0onMY4YkbJs9Nn4iduA/dueVdqPFXrwcCi+Pqj6vy2c9ncIguFGp1c
rKXeiwI57+hV6V3LCoucyie7zPuIsCw6qbkw1vqcj1tLD5KbSLbRyXRrFrya8ssYuOhjX1HBu0Ow
Zpr4ofeC8xDKSzADpzZQ+YzyOIWkSFUT73WfIHnlz64VNaGveTyXdcL2YQ68zZTtP8ummu/NEjGf
Uc39D+KTmj1WMYPJ4Vick0aXmzTE6BwhiX8agH8/MPAPfMOMeiKY4hmOKDqN1DZoccm52oQYti6I
ubwDE9n7Fn/M3ksnVo7Z6y65LMDd4q64DDrLcqPSFMQBX4eJ6UKezPsnMfFsNT3bDMn1bk7iApEh
QOV5C1stAVRfYv6uC/2zFSxo0t5gnB1Fpbb16py2cw90AYgBi5FjyE1EL4gKlBdi/k9relyzC7vw
qkdfdsnn71kjZZbmIapYF6MiawjXr1aCzanEMu4IXojXn5ffn06miijSKbE4qIuXp3SZFiiD51Js
M1jazLd5G5DNeQc0R+4+muFPvv55xu+FJcc2nNKceJGpw+58UYK4yNsIVgvtLTomaxNPKEOJI5Tn
GGjIrpj16DRC+SVKQkK77ep93bBcyBS2P2mlBqkVBaMA0k0IGeKfvI6NSu+51XpJSsvoGO1OkVmJ
ArOsHwjeQxlTLJu7CGp2nji7E0X5ZVqWkZC0ThTXPHRAU76gX6w2iUQVmpSx5of0Jh9Ll81ulu4l
6xdQe2P9rEqv9OdBAD3OvpgR313T23E7ucF8oq9lboxupLFS1o/NzLNuLNFr161VpZRaNZ7QjyjK
rI2XI7g3EPmiEeFtIonY3UU8gqcSWOZpaO12V8plN82h3YaKuiSN2WcIXJxX+vKuQnNMkPV009di
Zn2DHspUqOIRTwHZ7lHFs/ekLLsNOPj35GhpW64bGZU1X0g5mC3puBDOo0VMAaaKSLLrv8143mMQ
odvaWTisJcoQvzOHaj0iLVhNy66bRGZzsGOgDTU1D+qwgXqgHWcu4tgcolZ3L0bFAL/L+L9eG7r7
huTPSxHxR/SQCqIIvNZvSsTfaL7bXQ0d6CYmmBPdWVCyL/AzNWEkN702zz6wnmYD4kzu8Cjh481j
rh0pd7tslk9ycr6Bpsb4mtnmgbezP+OpsTasYDzFYnJ3fZVRssSU0dfX3ZNcPpSmfILGLqA8Kh3y
6Riie1bLoZ3bcX3a/8d8n/8P8hIM/P0Ls+CX1/43YMJjHauu/vKrf/Pf/9nfBk7zr4XyuSw+V42B
I/7bwGn8xWmI7gKvC5nMxnLy/AexZ/8lhJSsHpzKXNw0/Ku/DZym+RccANYx9j5zcYz9R9QEChrW
2V/rncVCijeRElkyHwdD93wdVkWqafCAO3BGNrloaWuutMHd5zCVV6isP3KwCFf9GC3RTwiD57L9
MZrmB5oPH3Mn0x+CioJDVMP3llxiNLQ5kKFRdr6mGQTEtYCNUqU3p0WzA4aGcJuZJ503OLnnYEQX
AOn9vljE7+DayR5LORLGU4SnQXwsPVVtZTc9lLb+I4ccb0z0DbJQoBHAYYJoUftuh9YNgQImJHyt
+sweC3VF9uMeGyLZZbjp+NSw/xw32Z7V/8yqQC5oOyAQBZlzF2qB5+NF0TY6EIKVYSXFGfW/dWox
+UM1V/IcFQGtJuXY+dImnd4HXviox+mXgc5rivcho+c2MdKkLtok4wj9gLV8HXVQ1wh66R6wgOzS
OrXPinXjYKaiI2RuAteGPwjqnkHBtHK6aRxwzxrdTxA7N80Uyo1RW879cmKH/R7hE23S3YSGmH5X
BY8tKbHnjE3w1WIp3EuaU0fS0ZRPNQlEf/AI9EXvd8RUKL+2cvpcj16EsmmuFj1TszY9PDiqsNTX
TnraJUBac/AGJVdxOyT+nAn7QsxetxV5+QMoIdGkhHDc1npC/yukFu4SwyTvuXTXKfP/TRohnx28
qj5W+Wg+uM38XSnk7CVdstsh69KPVjl9tF0FCDolna3xFoxLo5/tKu02qgRVPU9kZKR99jMu3HTv
lN5nr0USLEmQQReZwV8eDKfd9Ll+LB30IfwpVL+qjk6xkz3GUj46JDcQVNySphaO8WNDkKGfOsws
Go4g9IrD7GFoI3dt5H3KEdgj0yiOCEVT9pNDENfGIULsAhT4A8+r92PUi3aja0VOyFRZ+3lLLEev
msdAC1BujODgRmSGc/M+mZkI9TrRGw08nuVU8ykjl2aftM2DIdS4SVsHBlJiLQShsn2vk3jDI+o+
9JN3BfoUFhliZGSJdR/ZctX0UMUBXeF4HccmDJjimVVN5EhL3EiwpMYhElZ3thzVxhCa5kd1mt16
eHM2pR0OhzwmA03yDN6GbUO0SGjHnBFo7GRRxHLmNbu5VZdF0RRhSqqtE2VC8tAktrszlQk+QDTv
jbAB3ubl4XGQrr6HSgmKypaIkBMT8j7BYlkC4YBb1W8GMfUt8YotutlOCz7Vpeo3QWpWZ5yF4XGe
Blmtgh6VyMoQtel3Qf2jVCRuhMiKcbTM3o1kEnAfjg4hEAAxNuPQWWTVySOuVetWrwMGdoFgP/OG
+H4wyGqalNvd6snM2VGT87d28vZxO1crOTjESupJm67UbNwHaYvaXovh9UdjucWpg6K4CcAnyTDy
SW50keSpJUk5EkUG5Dwv8Knq0icZt/swNZ586sLO2RM0SVyUTiWm6dTSoteTXWw70QH5wHSqHBE/
YYSozmFZSWsVIah/yGZDu0FrTGIdgPEPsjA/6DDwtqWcoBWFxV41451qSV3pldEvUrPB1+KG8ofT
GZ3+sZyPLvxQh0zxr7Hohh+9ReyEo6zh6E1y2LetSwJBoATU6izdGnP4wbUzdYMR74RUxPQdgn5C
vEloPgm5mKxy7WrVaeyxE68MsNA+YOyAsiNyTnaWJwDUA3UOjDa5jSAdr0u9O3cy7ne53VYfCogm
K5Mh3g2wlm4dTYixuxjhTN4Qp9cncFd7j6+xgKsfgmi+H6EZ+6aLKa+chvigku6efUhDWhPgOCCb
42uNIndvZNpjOFb6ZrYAuJZm0d6WqSvok86xj/Wy8wszPgOhQZMb2uW9SMBO5bHdYWtytCXYxVyh
slpSJI2J/gPu/wP9k85vtUoAyXahjtRpjQSzXSBABAkFhKT5vWOxCsfiBypu4mplZqxtz7vPa/kt
Nl10EQl+RNtraGDpisqV+Ck6H8286TuSV/KAtm9ZBO9RCbArLt+BfoG1CWNMS2XrmR/cnrc5E+BA
EMN4F7TSOB1JRWN4kQJo/arhegR8Sgvj0YQoK8iRyIeO1RdH1hAZG9d0b3uaXRBhUkuj0R8ND+YQ
0flwU20ltOTBQSl2AQCZvFfIeDaViV/em6P3oGd3QhsItGNPKNZS8z4xO0YM4qnv5cgDJRuiMCt4
4MkIMq/I9Ju5ny+5V03EsEjwuW2NAErTCB1b7rSbTsHWIkmdGEmWntYrvhfmjGq2/Nw7ZsBFnS1C
eEwn2pDigRIX48MRb+Edg6H6QpYvIz3G8bEBV3AKenddFr3puyCIGH4XBZptx9o3fVo/ckRu/blB
MCPbNofTV37RNVYh9Kd+YMLfbMXXqSD0xBbf8w5oddAuObOW+FcL7H+skv3/lWByrVthPb9W7v6Z
Pv1b9Xv9W/5mhgGYttgjGKU5tKLp0P5T/TrUsYbNydgCSAJc9Rd8ialTMiOeojwDLk9Z+u/iF740
xbSugxlzyRay/iN6yYuWAI0qTNsIWYCDoPpFQPC89E3Ag41WkAWbAfNLkow7aUdbozFxd9u7X67T
3b/q6V85si9BKfx2iuvleL80Vpeu/PPPCnONKDfRBBjPyy0K9oeJUMkmdbYFLYnZqz5h9Fy3wwfP
2mrOfBvmM9R162PGm2fG42nM2NR5+t/4VlzJX4v/f30rWjCuxXEDiBl359cJQaBiAkryKtioaNq0
aXXIJHlZAwxYI6yx60B60PK1BIjkYr7ywt6fAhszJOG5oqVxpe5f/0Lm9Zr/chxZvpFrWi5DJ8k9
+W1YlEcOYVBEgG+IJ4p2ZgLhsBD2AxLm4HaMIrxkQiO/K+u7mj7djIoHcWQ7C6rttLcPc1R81sif
u2d1yE5W5wYn22b/cUAZ46hjTxk+O+O3jHNI37YrWRYX2YPmGlaj26+mQiCMC1ce2msLsDF9j1WD
uaYqZ7+KxJrp6EUnH9VTyVYR/5pk9sVLuy05F0epPQxm+TAH7HtYu+wKYYc70TXp0MtgzdXNYyiD
XVeV50aa+5hao6o/Trl20KIKkvBXrThJp8uYEltHRblm2vvUe993/Ye+g8xfE6SwVqNzsNv3UBxw
4xGs3Jc7C4963mSEe4b3s32MneQmY/dhwLF2xYStIziKCBs7ET9eQKi3oJPfF0cyRbZjY+1lGuZ0
W9ptlbjkcg/kM5vwpCXHiwiAs11f+khuaQiNzgCPhM8kOwoQ1daqyF0THwjyOyY5EQLkSBlAhbuM
sO6434ZY4RLyXWrg3WHWcHn4GM8mcBJwZy3uuZ+Yvqx910oCCIeelh+iREJJjQrz461ZVOcCkGwc
u2vsFCtd944K8mjauxudeGMtfpcCMtPqG+KCt9KLvvSU8LaNTaj83DTfCnTroUv6X+jdNswTvCVS
vNi7mJ9z1wEQP5IR3HQ3YIPUu7gNPodOrl0migzfYUiuqYQddx7LFswplU8beHdBbpffQqsKlnRp
LlreqyRiwpX9aKYiujfnsPziETYt0YYsLw3MutggvpTwoHeO0ZlPhJj1h4asm0+gClEaW164G4Yl
mgiOYPg+V2kBiIDAE9IiKGZxzCKCDESXv2MX7rYGMV1+W88anv0BEAXfQo5fRD1l+0LkHUePqg8B
Jav4bHXWrYDbe1/PvfPQmnm1vb6n/7tJvpHWwCbJ479Mzf7PnK8lmGGher3YFv/+7/5uCglyF+ju
MG5z6KCzx/2zLXrWtV20SNN59pxlh/vvppCk8wMvxvUWwR4KVSYi/zSFxF8GmxmlHrut4K90/hOq
F1jJ5/uCyyJsWS7vLtpKtizzRVMIu7epExmUg8ixpk3hfAkdIIIxfrWbyJ6Cc5x1ZKhr+VOpUukL
vKe7Sh+zL6MtnEviQvkaG3dHKBH2WDXcFRancrtwn0KEMZCUPDoq3SLwmnARDqnd3/e1yFeDadXI
kTuo3RFqlcSr670b2Z+SpWPRyMvUsCK4IkY9n8TIz4P7Dr0ReYXWRocXuOIU/0Syr7utlyaxk4tz
bk3yixMbBL2l3qYpTRQZrjdfsnxm1xhAnmd06Vc9E14skMN2aHrFKuRuZ9s1wlXW5ZZf5VQHo+Es
NkLNL73hvopsWi7ed/bJ1aDyc94xs2tM0kPFqaxVuEYfusZ791MY8XjUoiBh+JS6886M6ncx1/a2
jHOqgFlTu9GJn0adg7A2nDvBxSSL1DonEz85ttIbu8AZowU4xFR1sUTXQKAkrDce228c1ueb4H3D
mrNqKggNwMOOthGBZdfa91JMflZ1m8wGMJnb1dpwi5+tveTUSyZVJI2OrsQtmTxWXniIFCfG2hlC
H+PfCk1U6Gtzstem7l4zRc+MohmfungWB8vJN6ozRz9Oy82kwNuMThXu8zKM3jFheYisHnQhZ7GQ
IDESECYXRUtu34oro0GAnp/Qs62ZUYGcammB0+MWB9Obp0crL8F9LZHujKY7P8mj6Z2eBXMEQ6JV
O4ZX4e0oL14unjAI4+UhJPluqEm7w4lwCXX7NkpGcmrlhzCbbvDDT+u2o5JLhvoc1s1Bw7avc04e
QmyvY7wBfE3KV9fckKbwMy3e6ZAFOBp61l44iphWOneb1tjYWF51+usEUljaOhjBviizupl6HbT/
QNGA0tJ1XUZs02Fs9Kcgf29mipZhxGx4lMtnJ4eK/LGanKsn3OHxmr1b4OvDEbAtoqJhSxqMXYVR
vhDGFzvQ4tNseD+zxLtYxMLZen50gurOal3clYlfpuZDPUfGpx7xio4FJd7YoJzeeRKRVQBPYWVO
jqDbV2u3c2SJO2OY223sGdGuYJ76TdlVdwJpELdrAPDyLqssdbSCZjoldu2yo1QR06YiPOEwdsmj
qrsDIK/sQ0KMEmbWronPkUk0epSQFzs5dfjYOCNphkXbHCwC0j6BBcILUg3lXSSJpSI6IPvMOdJ5
N9uMOzM9TWm7FPIUydI7MZuQ7G3DsG0NI+ToOY+XvLfzx7mNx0cs3t0x0VX+lFMAbaverCFYK6/+
QnCB41eks2Fv9sQFL7A6Ux0M90ZXWDfCINeixfP8yUiyjt5eOQJL8OSpymR6qCNP3M51Gf2A/snO
2UA2+84EihZvCUflMndDfEGLMJwFrJpTFrgGHZG+1+9cd9QfBquvSDcxjXOeltETvQfvUuEnOfOo
OGdLG/QztQIDNiQiYLVz5eyMzMxuOB+EftS2032SRXrxRjFvXVv1/66dGRQggLYhDLJwMzrgnPG8
mk/pNJZWM4cHNwyzG2XXZX9Imr65qayioPGGK0kZw7Aisq7zDcLS/IEB8UYAJtnYbfeEBEXbZtZU
8RYkDSss2faYTmN9C3OmWUd2HH5qgw4RPtp5QdKmnpxaPb+BFIwepPLmO3rcnOkDN7tMABRWPElP
IhjJ9qXU32McyNc0/4kAnsRjXUfRquuG/FZ2IdK4gTiPRzVANoX0N1XzunHmioyMgr8Yyzw0rLV0
gPYVM/qKdRMH/YjUGUAIbFybTFMjqmKfCqjciNkonnBgu58wUhxh3cJAMXHWOhr285a8S0v6qpjE
umqdwscSz8wtB0NohfZ+yg3CdDrrQY3tOVL1uwCyEaN/Um77URzxCo3rmTYsYCNgsBZeaea0ybQ2
ovzUzHZ/Cury7MS8/nFMuELfhAwcY5TZHWGSOe30VTXI8FvUi+FY9ANR1kwKcSZBYC6nhHmAZ2Rb
J0qTBzWD9Ffkwt508+DsoK7zKM00uVczyLXzoBYAcUf+C7YE79IJPXqK9NA8h7Gsbsgc0R9KQ+p3
hF6bqKHivj1xr8cz5soY7UDrXWjJ8LzTb2q+O2HRw9t3rOgHwpViPdbBuK2XN2Va3hl3eXvM5T3q
ljcqa9zuGAWjdZNqxXivqrg62+SiX6ao6W8UfXofc0CD6CdfEmI8GxTI8gZ7y7usL2914KTFI2PP
8SIMdh/VWwMdKtYBZtneaZoHeVJ2SaBaVSzPQeW+c5c1JF5Wk3lZV+ZlhbGXtUYsq067rD/zshLF
y5rkaUo/pK6BpjaULFkjuogPtTt3hySFkazaITwRbx6t+1a6X5LMnE4q0JiWyNS5i3KQeItjoDtR
gMhvNKGj3ci8fEtlLe/409ptV4VybZToQOMY/eGajD5yVLHRQt9pZo8KJaXj0GxdLyWKAu9tMmzJ
8R4TH1KUzNdGaNUTWrwo728KJ3HXuqgEY226vbNveqPw9sbgBcmxoCGmPjCkrDmXiVS1aKqstN2X
Yd2HZ/I1QrqmTWzXq651+25jZQUYmbqKUXzrIRnG4K4iwP3eNFYhWB1BVOsoBL2F2l4aa6pISmzP
rXVrab15ccNR3I+aQwS9ZzWbGqnAQzPXIkX0GuT6DvZUlm202kAOEzCCQt2rGEGhJ+Js6OFiXNXO
HGmbLs+ogGgLd9naYdn8OGf4ttcczg3WlonUYR4xozLwlLXmQ9pWXJeiuneCacZNkgwbvZnUujWL
fQMXfZs47VPbn+WMVDQM9AtOKnUhPBdwF0qaNTUqadE1eWDgOHJOTxNYLy8kU5uolJVlOwzu+uQz
woRhS477N6Mgl9etLbgMk0kadTXcAPsy17Kpv8bO16zSvONkMr6SzmTSJmAbsEpc6HCcd05U3tOL
eEhKphVj5t4ZAcrvKHckWPZa33SV7ZxaOcp9VgZ4PmJyd1ztgeBz9rzYsM4a+/9Gn9W3rCm15R6R
ozUpUErRcMd2/jQbKv4p7CECJTf3qyEjDyJhVLEaB4ZHpHBOfmJU00+vNHgGgRwoa93UrZ4guYvh
of/vOe//Jivh73Peq7P/y5diGf7/4ZjHf/b3Mc9ekvLIN3AxRxk2esL/PubR/eT4B5QY5IBHUiWd
uX9m/+IvxvAoDwzbQIdoLZLXf4551l+45LG06vRHF12x/I+OeVeD4b8LBgfVFZBoA7eDJwQonZch
nuK/2DuT5riVM4v+IrzAPGxrrmIVZ1GkNghxUCIBJIDEnPj1fUrPbvdzdDvce28cDtOSSBaQ+Q33
nqu7qrHsIjnkrVQHk13DBSTRYP3i4UkQ2BADMT8XsJL2PqK+tciW+ZvqeusJXe/3ViT6Yul4eRSp
mm8idxofiayHpqMYvCwOdfzE8pFsMptFMpP9VdamL74bqwtmhGPXppjiBlKegKA9WiDAmAjN2Xtg
UfMGY16xMSnv8xilwarMkQetupDMXYpXbk3aUTQzbPqfE0OLMac9kfWTaS6cWXO2CbRh6ZXVNZdl
yrKuKaKDVRGSfUi6ZH6ir8teZdN8FYtVRRuBBh1Flcx/SDd/n3CZHaTvE1ZGbnWRlUR14uPfdJ4P
bcg3v65b4Y0/VBrl7sTC1krVYw5Ji1EgMeoD8xyCpEARyYBaoZ0Qm13jm4tMvo7cI6u8J5sLBtEV
+dRNejUF3tEGTPWSAxlnpzyQieJy2Xc8IsWKHrV5tKf8cwo6H1tnigY3M2W3duyJZrCzfyhnZpkE
EGaEjAhXECu+eBqnGdDIZD2NA5k2Yxla+3IKSCFtyDN4CKYoblZsi1F1oJaEq+EwRqLJnrjDOEoL
2PG/K1R5LVZTF6VrTzZ3j8KsHdmolgwwyyYTFplmZXnTzGWf79LFZSfsA6RJbxbAv+Mui63kZqy7
4XvvtilwTB122T4hNeyk+0ATkJgsmpzYAMXtilnImAIvbEofC6tvf4Tam1+qaq7GVZx0EQu5SLOl
GiE8JTgGTILglWZvpbQvwCLBTuS4nJaERFmwSK8skNvL0vc+a/I6F3ItnJQOEaeos+kny1m1fUnz
1BBMBpp1vAt8r3MeTEEC1DrJOwBLyAjLaDv5DgVv0lI4P+ZtlGYHEu4HfeIJ88QaMI5YNpQoLvij
qfpVN1LdRGC2xbY3TdvsuRs7PnO0Mae+KyhlJ6cF2R9OyQNSy2NMGCM3+5SuBOjH3u4V7CfPphaL
qMm9WwSNr2UX3c/5FYgkbZfKtz1kPU1y0NqXElbcqvbqx/Hadjf+0wAJ0Di+uZXXNlbBc5oGfc4F
vLeiPoYZ1mEmHNXVXQgre923NR+ZO6HoV0YdhV1499J41heP86aGT4EO4d7tkQmSGfBg2xqg+0RE
OUfULlHoTfhRf3nLgyKKoIv5M5inX5Xl5g+dbR+bMJObiWhzWNyRzwgnD2le0ewQbQ9AxUqZenT3
cWg2RKh3VMYt84cgFofyOicYvOxZeWO2L4qICMDSEwcdiWIVhgqGubFIolB1tzbLYqOxqK2fvg9F
QUd7rJgZC2XyB0fYXIcqthm1194m8iH0MVXy6k3qVPXFlnn4IzHiCVCW3MjYHfZTCv+VJJJd4RNy
4XjkBw1DGn0s/kI55JitE8/d2XVzCJdpfCT9Mz2OQfTE0XeBFylWnjbuiQC1Xa+CrcnLcucbN9zr
BAUHooU9+49PYks6dhfmSxQpuaJTvR4XDAx+Fz9biKO+pj4u3odF/PofU8j/ZQXl/t7m/OO4v/aH
7FRgOrA3w42DI+ev/WHVzBi7wCEeLIFNN1PIjpOlZEcv5ia4y+qQt8RahqBBz0WOp13P8hUdNDOG
eRxZk6gQ0RPVdMhbF9aMxHO3GUjxnIvW8FxKgrJbpwC2J8fCvNRt5XyMJuV9dtoJrTVDlUivGL21
4cYgUHEBXLbjqXAyNj2ZCK322DoBh0XVpDdUiSNWit+nifX7ZNG/TxkS1cobeADE8w29iVwKZZYH
WdtW9G22b+3QCuSPfW4xgiq1HR1brTmmrk2XmzaAv3qxa7JwOJdpt5sSsL6DlHyamBxsP5tuAru6
cfMiu0E5lm+xfs3rwk0yKMQiWbtVghia7nC5tonYT7tzWKXBXmv448nYAwytZYeyIt3Tcbsnb4j6
Lyeuq2+U6/VWe2heCTnTePy6AgHtPgdtN6zDhfyzjkGX3IR2TnIrqducQn7j5MWTNCRl3hjN0qME
Goe8BJ7GnKDlZBOlNkkiqpfs2nuzcGCSQTsu6za/McLx70luXcDqpaJ641Do1iXpibsA+iwWF/yN
fKA6vxsbmFOiDwb8jPlDW9buKbRltamFyp0Ls8DilpaI0rL/s8wEUkcUC5LGm4xW4Q44qrWPkC59
xOlo7REC9/ep5ZJ2EgnxkWrJ2zpLPfwwAafXGI/uHTsN+0Eyo93UjvPul6lzsOdOMZ+FNwI7rr0v
mTWsZODuS4UdmU7hxG3XopOzRrpRLOjh3GKlzDrsScTR0ZCsdG/OTR+8ZmKZt/zmvpdw0oBay5Sf
JGERF2fXWDDnWSV9DcZqPrT+lXFagl+YvU9hO9Mu1NYHvDN0SZXv7BsCGD0cfRlZiqXr3HQq/Z4K
bxPr7Ihg+B1Rw0rUya09jkw1hyHYzcvwqbLZuUXE/YUaC+nH0PgbJ7LbXTxb8QHiw88g7rpTdt1E
dWGRfZokmU5jGHcPqnbNsSOUYJU3JE8qVaDrHbsPikVWj4H3OfpX3jgqlTWKNsDYjpQ3fm69LdC7
9srYzm2lk0veLmbtgS3cVpVlNl7k1DuvJ/hVDwhaxqBdmL4NKGvGEv02pxV4wG0fM/pEjF83XX9Z
GqdFUWPMPvIbppOz+wSKeb6UjiNRJrvMShwD0rpzQBsiRH+Avt0hNxdbLxnl0bpKkwQzBlIcq4jN
aEIozsq1Sv8LlvK4dQen+QVuDV4FKOCdPyw1G0wcpJ5y+aoMxCb3inyvp5kooXJwzRsOQuxR4Wzc
75EZ+mY1tsp+lYHsX6Cn2jBNZJ7/ylLpklaVQtXJB9FftdBz1+ytdshILNatQhnFHd1eb+vi98Xd
/L7EIbVxoXsRCQyH+PdFP/6+9JffBUAjUoqB+Xdh4P8uEsJrvcBwqP9Pt/VvJdP9rdvCAfJ/b9Uu
XyJjrWZ+/i/9Fn/wv7XWEacIKzCH1glJM1/5M6EuToihQ1EdMrL+nWfOV/7eb4V/IAPBsgRAhygl
nsZ/9FvBH1egBA5w+jQaJcTg/5RI968S6lyPRvB/yi3ot9BtX82gYezzl/n/dAEjHuvjgFnBoU1a
XxxcXUAbxf87t0itZfY5F2V5YnowN0f0EcOT75hYbMPJyZcdXjLvm87ZyVV9CJ64CYuRSkxa3KzB
1M96r6zM+3atlC/pNNl3yrICjJcBOZvrCNP5ABPdz5NDV8P73tsm1s3Ztur5aEAbrINA8JLEac80
PyCWBdd5eS1+HOs5cQZ9Ew/R8IoJnLhzIm63jl0Wa13Fjzb3yGb0bFIdufgTTBhwJ7qxJdRVN+R2
o1rUDJuEONs5pFMmwc5yDjLK/M3kMwEmExFv2lIqUoVbdadd6R7SIAZjHCzewUAUObg+9BSOMlJ7
VWnChynzkue4BnUxOcV0aYDHr3OjxpVHGsXWA0bA4i6hfcxCWkhEKsQKxdPwmNZzE610Vz86TAjR
FTTSwPRGaGRT0qUStWs1jQ+ac9DgmeH8PmvZ59M+jccRCNFUUn0mlZ7FpqMnaDbCQqK4MnVOryMc
0yHaGBPLeVhgDJk7YmHD6sHxbUY8OI/T9lCQQZeya4ud5TjYfZif0hFXOyneqTNuhyEMlh0Fb/kK
dFoHD7FqexdlJ8slxLsYPlhWuYVZeUs3Drs07MZ91NvZp103IiKXVCX7qh2clwDQTIuvR4grLOBX
ksw3gzXpe7eK3XPdmobBtW0REhGPr1EICyqz03u8ahR1euq552fF4qmdNopougfm3Mz/baCqNaZ/
+DuBPe07v+o+PTVGh9q1MrmXIyagTVmTmV6gqH1m4gk12kTIXTcKpM0TkFlzhq2P220mUlV2ffnU
Q5XeoIIowcNUlPnCq092RG8N60RsbRmfGJrT6i3O8pxW0tmNug5OIVLqVZZbe1k59p0g2Laou+7J
+LCjMyfs7iwaPXifk1ArcsFpJssWwHBdZyTMa8X/vq8RSJ7ZolNG5GycDcLfc6spdFZO7stnntbh
pmYzD03BRb6K81LmRyOKqSFvYdiw7iUCuBHDUYxTcZdQ97z1fLb0cHXqdGtBTAiS42mewZhY07Rh
1QHkX0Uvs5TqQZt6X09Qy3ViLy+KpNzPwLWIO4qj5kkNomPIOOT83nND+rnQb1GC9LukML80vfmq
h6FRq8a4ahsz9jjAxiQZGxtT8dpYU/g01Ybhg0PY7I/G9JiKbEUQ7lSOFtvYecDtgKI1tNxhG4x6
2Nm61fsliaZ1OwflWjkeKt45t9d+K8pDmVgnW/UhJ4yaL2FgD6+p3SGO7UR5LxJPn7omr+iFs+Tu
Ko356U8jkT//GUL+W0NIujXIQva/nEKSA/mz72UnfrbZX67Gf/zhP+/G2P/Dv+omQQHQ/SEWYaz4
t7vR/gMP7XUcSTHPGPD6lb/fjf4fjg2+8iqRtOG9XGWNf5tFOhGzTTaOcQghBVUjytH/x93IKOuv
dyMmqCuClKs2dq/+4X+mRDCmgxyfj+R8+HXm7maH2n7qchfdcFIBivCapcu3eKY5ckeRotqIIsLB
N/7MeGrVhz20DIQz54pLYVUPdQO3LVWa9zwqnwo5Wc/BVY0lZoJRQ1VlN62KbEZtQaT2HQSnbeRx
MHZVl32OXrywAod6nEE6gPCVzmH5As+gVOsULsqNcCqfppMOHJJnah7CuVYuguYnMXhmvYAJU2qI
V+7IEGCQbXuTxdxHc0ztsqPzZReQzqInm7g01rSv8B3StBmq86Fc7Kc0kOUrOeXiqXbripaQoSQW
BHExJVQJHArj8k7fEfyY4XQTdY1BbYK+BTKuOAa5m0DOA9O3rnMHxnAOPfJ+7jo0k0uRbyvYyKvK
nW+E3TMYUxlgQK/llsEpxDAWH+VSh857TMqEWlX1kJLbHcvirLOweJ/ChHayIA3kU9SW+OZyfFJq
R0nK+jeyXAYJ7lgR4UwqbuIV/sr2aK0hErqnnA8Ac1ntr7n2xpu5bl+MRKywidyZNICFqFra28qu
18usq23mL4V3xeNHlyGc8p+y8tWX7aaYYtrREGKrqxGvhJ2Y7rwk+MmQ1qKLU2qBE0AjLuZ1WIl+
xQ1dlys3nMQFnGhymsmzfsvIgyMnCJSATUsha820DfZ1a9XZK1eBzxTHdrOD1/HvOMarxk3RTjG5
JQI3G0zMtmLmBjIXCyu0hAOD0uETQ8uU7Ty3ng+DtJJ9NEQsmF0RGlAxQ61WAH+LZlvyWH/rfc+9
L4ghOKfh0D1nVVb/xIWbkevZ08Dd9IJHcR2BKf3QKjBvXZLVziZAL3VNMW+bHw5J3c1qca7E5jyv
2idwwsm97zs4fJdmSs45V+K9yrTWq7jKHHedAMh/oByZXzr/Gp/OMs/6wpgfYLVwCDXxo0K9hxhL
9/Fs+HrtJtNzV1WeInlJsdVse8JjDwiesBCMVlZhkMPUBDESaxi1J0Ed0/SShFPzGPT1cvTYsfHe
FvrA9tQaGWWEbOZsNGwbLYJZE47rFu+Cl+v6R1OWpH5blvpgS1JDtj7tMGM1tq0lZg42n345298F
E9fX6+1vMOvVy3UjzgcYDzXftWfigEJaQ1DtbEbuROUxRly6rANHGn6lpbu8EQi8dUjnYuvtfdRj
gq7XLvL2PYhmhZXG8ee3ma3DRg8Z4lCrm54xIjXnjPCoQ8EW51TBxse6JXq+HEnubzN335cuwr0m
uh4mEJhCNhh9fYrsJexXaM+adWWaalcgOWDkF6cH/Nh7vu+FdhT8G1N6d9VAS0cWDMlicaP0JXGZ
9FQ9Mg+84Em4tpyhc1embxu9pqbRG7IqACD6i7SdNXgHVW9dDCmKclfLr3xosm9LlGU3dkHo5ZbV
rsuygRHvq8WLAvAQjd2wKrQe3pSXZy2vSM8wvJALr/aiAn3fGEY2RJDlTEfU0swbx2r6VQ/dR6KM
CIdbrQuDR7qq62Ovuu61uzqjUFB8FvDxmSu0nNNjWTIfSoqrmWWw6O2RuH+zezeHbABhcZWQwvTd
T0V79tIse3MQnNBZBGrZDi4ONB5Y1qZrFSkb9TVpzx9dFZcHofoPW0uf0IpqrE9cJaymRV7qT98S
rHnp9BGOVP00XeTABICgI2ECqvUc/I4FuyNbM+yoma0Q/RUdWNVk5C/kwvE2BPB2X8YnVHc9EXZd
L8wYhA/uulWtPqWhrGioenIQZIO5Hq5GWfR7F1x6dqhBUO58Gfb2QS0VQpkcL4uEqh8G7MEGD0U0
WwmWRzya+tcMSBQVRO1unK7rhlW8zBxOSVk9VRavG256OZOYpvWbjCBQscmO44e+ad0XyumUl04X
7tnOavdb0o76FVZNfIpz4siZsff4v+NGeHcN2Ii7EN3AN23QWnBshDw+EWGW3s6QnaM2nRwvJurD
a0Huixd6PFtt5jpyftka2OwN32HmYb8MyL/JYhO/9TPKQy4ot7vw3gbqkPouku12CsJnzqb2PKok
v50IKtsh74eVlroo5merXZZVaUkrI1GsdHaWriXyxjT6bnJ7WpXYKO+KnLg6Wh5yTaZa3sM6rdbZ
4jj3TFhrRqqZfhlYTXxrEq/ZOGZ4a+zIe+6b0b8voM1tBrK7DzpQ9rO2a+uLbKo5XbnCJZvDq70j
njG8Yhl++2dli+g+quVzXdvWfVobkOOmYio9Znlxb+VIZQQxy8N6wgqAPSCB77OVdgVXElDWNfIi
yq/+hxIZGE9C6TU/ZVylSMsGgdonKlAmLfV0yFhHHXtB6TCW0/JREnmDoFJDsa+GOrurw7I7q2aM
ts0Uyh+yb98U65j9PCTzPpVoSaJQyZ/pYDCaxVPxGAOD2GNpWw7BmFU7jUOb+VvsWn8COc2QefS7
Xee2lyhQ6keZjWxQYsedkcuXBZqiqrVpIkTD4dKxrj5iWeif9YKGvrLajNWl3W77q5lPQaaWq4I9
DV5J3wNE7wxrcHPjc8DV8uBbLGJgQk1FSk4c1rOayezPxcmnS9wxM99yImTHsU6zW2GP7pPtD809
puacDCOBZAn7a/jkBRls3dIvnP3Uee4+j+f41iy26Mk9SG1JFEdWXsIc9ERD4M/bYIrisY/QRLa6
9CJuZUqJdZ01uO4cfVVHOKa1GrbVQ1XeS4LiyGtCisj9rZBntF0vwVX7tfnuLhAbmsI090VzDdf2
Wd3JFZs/72c4UjSTXS+yl5CswJbtQFxb7HjxGPsiZ8vHmo7BPn1ktc7lYKYjSacdMbcmD7+PIPm+
VUqOjzCf9b4vlHM3uZmr133QsZweLI4H4C1iH6qyfxOmqB9aVLAJbpEBLp4mLCrMCt7Vhbn7OTKe
Obf04+PaQmX2QAHLqlgnY/aaQRpHmjyNOG79IvOe7XzW3z03b+6TLsc+G7bLbTyEgtCjwPfnTaBb
PtG2lYtaGRV91r5PBwljztxa5Mqfkqay9+2SoHNtp574xS4KP5Yl7h0gWL752Wc9UlqGRNbWN834
nrslCmkEQtdYjQzxAAK1B+IFHfKxrj8lEhhiMzDAvCVj9OzhslpNkES+83J6/krLqrmPrwb8TKtv
QVE+lhnrt7kU3TlRGQ4RDz48PByWCZUKErG2DJjhCt4b7s00TL4zneYGgcUn0NT4kDJWV8TfSx6m
+pyA33kkRyx8HFXYXGheynMnTPlqYSHO16Hq4g9izbI97ABgMzNkvFuE0OO4Qic4/4ilsc2pnr3R
YL5xxuKUVS7spVAIc+gxUX2kJUnSgI4RmFcWWVVwvKLrWqmNE6bvAksrN9cXwULhlxBpO2zHvEB0
NSx23G5C+O/wV0dPunu3TuS3Ed/2zqrL/HWxrOXRTlTq7UZEd9xt2fjigJp8RIRU3lbjsNwv0uu/
vN+Xb5vmVzzXwu5wEumjyUz3Ptdxd4mqqnlup/GGtEgRsuQDsZ/VUs8ssuMMoXwKSmnthuAJxsX1
7uICXw90NJGtMmnYr3dlkAyk4PlFcRiGHBzrqDsODV2jMmAYH7zawtHo93XPRsaW7bTStt18+Jbu
D1PdygurvfpBqkl/b7GkfnYaOVuJvONlJBJ0Wc8M8o6kMnX9zplm9s+q6sXRSvzFOkLCtQ9uhOGt
aD3jrAKT9T8ymuRyNbf9cJaZp5p9EcY9ywOny8+0BPIQtpN7aGZbFzCoc4aTQUYdakZID9lQNc3G
a67kgxwTOWSoyOKjA3B0UirHozOiwC+vMWn1fceQ5TAggKW68YZ8T0ZQTkRixaoZwYD7KHgyD5MT
Vu9xvagf1y6751/wVLkZfM96sod2uFel034vZsTgZNopSlUu/DUcimXdIH3lK6NNiWG5NRFRpjnX
icDQjoKtTtd1Wec/VV0SOsbOXdxhuOZHKArgE7wPef4wJOpX23uhx+ui9iRy5PdWK6/+9nKo1+3y
OwB5dsD1Y2N/hqmUPM5uTohPvLhEl5ohLG5y5psDMmevO3USL94mXHz/akoPm0PXayJWgkpatKYZ
Q6DSlSo4tH3HR0MZb6vE3CBdbU89N9JPyfg6XFcy7dIVTBA4OpUTYThA4pyyawvgBS1EG14HwiHL
tzYnOW9lFyFJiH5207mAJNpiXD5V7IS7ZZ6J7qKMVM02GrI2XqM/lcekoC6bRVFfRPubTQKg80Gz
UfumgmtPwUC9xCDNLb62Y6e980nROauwTw84WKrDWETdsRpMpqE9qRn1EcFCe5WH9dHSY/qjb2OJ
+y5cygvyIO0evbbFIhAN83XJFE3MdP8zzPo3h1kYdiFx/qslz/MXxinxs/rrkid0/v4n/zbJcv64
ZpVfXbT8fYgZGCX9OcmKItzGjJEYIf05yPqHqs5JsBsjuMMHELgkU8d4uP4+yQpQ1TH/um7VmfWz
Jfr/TLL4G/95khUEHrkPceTg1fKQ9/1VZiELshq9HKJ/Z/ePIVqkg+rJfEEyP+wIO5y+cFoS34Yv
+cBkwLCcKbsdLkvMmIvydknNHGQ7Qn7hvHWm4KHDk8saIK2OyHXUCkHajORehBcvFtERgg1oC263
zxY//m5heBvxVzb9Oxp5u7vk16Hfqp1l+MraLHvpm6q7XCPYWoBXvUxXLczBmwisNMnW7JHInwmS
8gCn9OqeZKw0DL5FLFI1fTC+b7eG+VdcTONrSE24DuoG3D2/DglJzkT+oQ1jSX26NMVatcTdTFAB
qItYJK8rHU4LqIQ5IYLPj60Kio+g+p99vyZdzGlQ+1tYOYY0ltV+Zuv9jaqVKsKOFzQEkexhpuYp
gcOSNZSLjcTgOggJMWM+Q2tizSHLC+JJ7qDyjC9tFUiS6Vpp3wA4ZfM9mVvHOONBOt30UduUyZZX
dpqbv+vu+mK2ss1UlePalE7wktqTd+49z3pmkm5fUZsFJi3w8UejR8odNBXb1hPiMzYlv3ARztdv
nPYKFyd1PAP/oI7bQz2QpGuXEv8bH3P1Hg5NcOwyG8X2iJqLb5JcD+ZkcNELO3fuXJWkFVAdQxQE
qjVqeMu7elBDuWfaWDN+ctqjj8dtM3YTJJzOZp3uckGh5XscZmmtplyM2O/0Up0VFFI6c8qznyLT
+Wky0XThgRpylFdxY1GKAiYWZRQhoEk249zV9MHOuEmQ6BxwfsuXhoZ4s8yQQxzKlEfLijC+xlB9
cKGwSEGdQYrZ5N3R6tvbMs7FgUPZvuETTY+u1WmohYX9Qy/Lcsp8kd4TKphfTM6D2tZT9N4XBDvb
HgC1ombkpghb13pikNvWCMwHYgmKeYJW1DbfaOXSnRhi/6d0BnMj7dZfI6OvdyGlmBe13XeqkDdF
EbNyohlblh7xxo24uSvGZf4WLa58UvN0aOf8vqHRGzKWSc1ORMu0KghwJDmAnF89NMMBUwEeNdt1
gb81nZDPvAfRpSN8+hGNZ1gd7H7OT2Vmpa9dZMfPfp+T+loDL4/3/J8kDuHZU4LwxdI8uZT2B3wA
wa3Nr48xELcjeR6JPCr6WWul6pCEgDz2bwMVeweHFieiTq/TVRpN8pc9Yv1vJ4qklZnT7p1NHHLH
YYiT56hyiMLtJQeFCBl7oSEMzT3SmewBsFK4YQlHthwpDOK+Qf/vbkwv5OMcx4jrJwPQyEvC8a2R
eXMrpT+djE30Ims42a6wOC38TSj6cNo7j4mro0O8aMhEaROMz3Eyu98GFU2HECvye1JK9Wx6QEkH
ZsL+O8+3/JWFo0eSRuBApK+Mm/10kIKVa83akeo9i6K73GfUa2zlBuivlKd3RZ3r/SR0z7osSLN9
MxTVHXou73kEYn5K28B9KlTnkWiqXb5JaCf3mRwcLPehdrZ22wt/P6CgvVum3MFUKkLcf7I/wytW
HzmPMJ9q6rkvXd31Z2TH3jZ1yE5EdC0huJbxbVUp/IZsDElKjLzUJuG8cQ6JxjESOGN+duKiICEv
CBwSny3HebaCcOq2UViCEMud6DaCgPYQt8J+9N3ZbVYNNpvs1GDh+SZKZXvroTHtx7TUC9UUwbFE
1ecsyAO9Dof4lGuDDyTOa92v6MfabWrBhr7W0kTcyzg7eXaZHaakukUn1tPeMh+lYYIpmCW9c5hj
Rz2EeT+tA17cLWIwuW/5jxUOwOqpGz3GGJ1EOyyTuzGX4lLMin7IS7AEiRSKkAt2SLck04tQuYeI
Sf57sejiMo5omfMq7feZCqIbogn4DJlun9NEQ2QbckYEUVfdVMbky7oOhmkbKfXudGW9ZfXbHjzy
Yr8DOtiF8fA9DxFd8epnR4diMNNutrGgN3z6NQPMrom2YWeZdQafeT3WFrGm7Bml5et9MARAsBx5
51p+tAnS0HqAuR8dDLuZIyy3ky3aIFyR/2pv+9IyrwxfZUaoq2gf3NT3vI0QVrNtAQksVfm8qGje
qWDEu5k1r6Vt3GPZ0PUS7fyeW+NUnoCXIjxukgFQncBniDp7mXd96o+PzujnFwSVDWiMpr/Gm90Q
rPVjmJuDTw27qrqFddLcDcCXUITFtXt2ENZDxM9iG5hVm2Sou5OaCU805DcuUgJmkc1iYArgOgTS
aPNfh9pXeyRpp7ZIAUDjrNVms2Qs+jZO3BuFE29qDmNb/lSmVKewDIc3r2y6ZJ1mBg+j6cc9GwDK
ejBj+pGA4na/6CkuEWLE1AnjPNyoTBRqh+wOXYNB+b8MlvelSP2SW654ZMk+bG+KGUuU0OMGyUii
6bgHpNvVZIS57MzWS5mHHxVS77so7Kc7WTB5byo0tNHEJZYkg1mXnntBenLHjwUwH2pl/gxjQ3tr
MJloYDHSzC9pmn0mPO5vSxBuKHsuZKkPOxST174o1Y8yJL+k7gNFCMjczfxQbG9sFkwPrNGXN0uA
khJROZ/Y6ydXXh9tnz316OGSdsI3VATvnVtAe+AfXgmnn7fXUEr2Rla0a72m/VZHNA0iLLeIroFW
wB29b/JUvBQBfae68lA9Oypfp9Fvdm60EEQbl0x9DmWP72yqoEkgOm4bwn+q0Ybq5lf33AHTfiiL
8TYO4uXkUpC9SGLjT3NnzSftxmLjaY1aGiwsF1IUnBfwEO46diUK45bfVZD0yweKEPsQw3TbeMGS
7pDVkN2lnGBfZAFIt+KbCfFN9IGEpAHHtEHY4EJqj2z0QfFMPjMEJwx8U4vnFddyUPMoFnO4dW1c
DhzEIO4mbA2htQld82B52jvV9eQfi8aQb6HS+ifC02bd+ZQUQaeuOdWVvWt6wkndxUUN2zKnJvDe
OYtUT3DOu/TCLjZfSZO6u6asEBheybTSc2/FONy4rvnlOF0mcd/jTF0HVPufQ9lt/SVAr8G0Z7xN
WBjuKjHpm56ovD0Ax9VVfeBd5fjjc09W+zfj4zGb5TzuJme+tQUbDVx03cbOQiItxrlaQdwA4ZUy
Gjd+Q/I8RxkoRG9+4w9BNlfR8o43cN6mzIl3PgaBs90U3nd+31ePRDhUBRlMMkI1XPjbQKCcqUh1
x5EdRQ/NyF1OrpR9k+m0uMPph/s+XdIHgEjxWZHHfiY9s2CE3hTBPW8oAS5Nk7Vn+hBFkq8bfC02
uiaf7Kw7b3ad22BwQ3QvZfCVZGlyCTF2r+SUyScPITPq5NAHFKkrieFV9ReOzfKol2LadDr6EMOY
HKIqLzfCz4fb3nfiN9/v+22VV7C2UJQ01EVe3lwamABU/tKTx1ph7kdV3BhOj16ukM9WO8xpwyFp
oxCaWmQekUJjTAQIeaplRECAlQCQmdF4T15X3f0Xc2e2I7eVZe1XEeqir34aHM8h0agCKuYhh8hZ
qRsilAPneebT/x9TmbYkyy6X091dQhVgSSlGBIPk2Wfvtb7VY6bJhHQPJNVE951qFxtD5sFiiMj3
KKnBgWkX+B+FtkxKxFMgibOzUoasdGR+AJMxtGWK42nROIJ4aPJm7xj10pgG33ZeNDzwqB+zjziB
rU9OGkc7Dbsq9ofKPLG1GknX6KGJARvq+ReeHjM2akTD2HXsH9wBmZqAYTFzbZ1XHqp2VUnW8R5/
xT6TxY2oW8h5ikuVmQigdhREZeltRy9aIxQmeiiBakGWwIEVlZ6/Qcm7UOEwzCJVWah0cJikuFAp
8u4hCLrmOsLlugvLbuCybtutgVJxJ/smXupVpC76JHI3HRBKR815QBZxuJXxYwfs8dGzc0YVGYei
hFVnaheXD4PiD/sYWmE1mzwTsOMzhfEh6fHI37JVOnacPrMzzxXLBs3qR+Wha1KGJyLLPzNsKs6a
SMMDrtMhx9oEV1ADI4qhWtnUcqjBvqk+xONguHLdoKJeCONjpDkjHyWHh4jV+oHNmM4sttQgrCvm
rHXq4oZWZXdJ4wauZZEa2n0qM+VTAvx4hdEp31g9k99Z4MSEEo19wqantrVDiYdq7hK+VtlRhg/c
caKVnQ9MHBj6CIJjCjK384rvy8Kd8nFI+44rqxPrTEnJbnSbU4MZkkD7LTPmiaJhNNQG9rNDwY9H
86RPHY6PQ7ZvUyAX+DkpT9VdJHBlMkd8Krp+Q2zxtT1NAYXWBoeAJRH9dzpsKlt6q8Esi21rZPU2
4lPe061uj9gxyqWDv/2WGaZzkg2Z+6BQM01677SZt6XlrPl6TDDXrTw1xjg/QYiS3EvbbaiNLGub
qZS0jaHQdMSES3QyLTV144wWms9UU/qTIk15xCOTd9a64aPvJ+suoNTP7JULaP4BjQO6freyaErG
rvwEm0pAOlTt6DanRFrmxFGf1d0YfyS9OFgPiKA3UGL6o0h9UjYB8mmHuBnIt8QMcOEpCo4La+wv
FMxnIMO7iBxzR+ogO+W4HelUXDoJeAVvcIkbL7v8Y876xiO+MrZyMJOliLry1K51tUFyn4tlU5Nu
rbtFdlFbNfGtTdaWT2A22mslhccJz9SsUI5lYtk1g4GhbtBtLORGsZaV/hxEKX5Dn+iN2YCP92B7
mjrH6xPc8uCo52RwNP4iV6zmtJejviuhV66UYUg+wkqhch1lfEi53Wd+HWdnbtlaZzENPKzU1Tgs
Mj+FZ2UmenWIZJ2fU1yjWjC8bNiUoT4l0bOIXkLtLGHb+FaMYSmx16QylFdhTg3LMDZKNgn4nIXD
LuZE9zRvXsRpdSMQzuK7knI+VJF3a4Z2sHZL8pMx1LThtksFQOKqG3cJ5dmOAXb3sR0NzIpUoRdw
xllNxtC4TRC/7JxWCz97smEtcrvxzBot7MAwaL2T0sSAkVYtxkkNdaYVxtZWzVvkFmMBlRaFj7CO
rQnhG+GtoR4ToUUFzYOxvzOjVtJrCZ2KxgMKeYzTTtbslbHSlkZms9stXGVcMRxmSJKycfZ7F52s
LKzlmJtsDGxAA4OtZ+cMC+0bISO5s4l/nGlNaxHdpCdnVjFQYoWTq20Gj6f9CJ8XFpAa+ucuoqx1
WWmjhNwQiftRc4F1YgljimrHewUI8j4JQgk+sjGLpSzc8BBWwuOrtY95RwdkEniONK1W6sAenM+h
zXXilFrkYMK1ebpGnRJBAZ56Dxrgjo1WO9qiVOLkxojVYpdFVdMuIYiJz4gf/EU/hpRLTiQE0yKl
wMpoaDlcsACyLZ+a8lYR/VXghvFpYFq8Wb1HE92bsHX+d/u/E6LrIWOPyGpWoz5/RXZNZPJvfrN8
acpeNE/lcPmEiLp+E+dNP/lH//LDH5Pvv0oN6XP+tn5/5x/LyP8ei/XLv3xt7cqfHGzITMcRFqLf
n5DoryJFAy6WikId5zNR9b80dnVQWjZ2Ntq3XIqAMn5p7OraTzy5dDq0EkwAfV3z32nsypfMqF/8
c/ArwVeCYieKjvdoCdzXH76mJbJfx0ipDDB9NXMscaaoNOQ0R4OAWjVW44BxcMUd40Y1XlQlUZ7L
vIpgDANs9rQF03lzGlsW7VWnIvueSau2VmxTk1O7b6ZhmF9fZggPWBcylPOIYRhVD3Gw8Zss3fOG
kgVYmY7tP5q408Gyu/5EZGq5z0EpB+cWihfA0bQbgkVMTxKFo+QRS44BjTvgPCwgYzIMDKPkaGAh
K9TUWWfSZ8eXIc9DfEiDOqD5QKKC6qRWu4laN7xsG6vYEJMqo4XWpx/BV/bOvHE1NG942OaRjaeH
+ajRXMtK4GwlZiJ2ac1o7rqzchnOESXTne2gdK2o8Vskl0Yhs1UwdgR9VL0bnAUsIfTgfCzGC08S
07Vjj2ZEM3aEkJwZ7rhyE4K7UYlapZJduqUZUDaITvTzwE+VT+gUHWAU8RCcZLRNj0XSBCcgzAhW
LbNMBvuemMVxQSIH+JcpA0dQzJYVMp/WtT96Xdbcx3rUmVQVdfakg9h7RloJWEqhD3jiYs877TtY
LmyvHBrGTYXpfAbbO9poit4dlFFpL9hxJg9GQmDePAp9L14CQFI+VoU5KAsXp2C2NnECH8BpuflC
N72YSX/Vjt6cBL34OjPiluw1DMAkSY0iz5jD2tqzyFUHLxXxP/egXwx31SiAhmgMjpjaIUkYc2xI
Jb55GQGLaFz81hq+9hW99Hahl9Wk5lLyg99CUjPqrLj0Q1s9K5DgKzOgzUm3iIlwX06726Na1Wyg
2tBoYDcNzCty9qgKFoSlMKMcRRbBrVVgYx8eh3RY12aRrTL6YCvaBz22LHc4Vb0Uf4kVVbd9ngV3
pkPYK3YFu4NaNuUFuPV4pWV9f4DLQklbozig3OzOQ9pqyziy8CLndJsaDZ9bw7HWbOUrzLqIX0CA
EUdokp6K1o7E37HUMYEHgPdhYExyTHenaXW20RPfWaWGSJne+sltqTF4yGzjhiRcBIhCB9DiULa2
+5btOxvJhPIRd2p06bT48AOfT9oxEMEOHFR7TBvqwq2D4Sb3UvhDTdPvjJp8YF+O7bxQBeNBMUXg
aqScILfQAR9roKcuDJ2A1iEN+3OudWOdU3vnCz+z0me7M+uLxs31RdhY2tXodePtZOnbxNIeoOuH
hcTI0ufpbYz04A6LYn4bZXXzzEg0vJWatRWdTVhDxLGJkgu6eRXV4oAdoLgv9KS6SBNTOwKPsbJ5
oUvnSg8amj8+3vF5mDQW2hqeKdGsD41w2RnDuPAMoR+7MayHWa5U5o2uF945uIdoUXZt8plAFHkO
LUV8Cn2lWtL/c3FpYz65NGyJoDEPtC00u/hRVq4zzLJCpetZK9ZwHsqUSsxRw/xZDwrtdroQro1R
js++7Lp8YXdqfDPi0b0Ykn5SZTFm6v06IXLM0jo+JxPaRQw4+N4wPF9ZN2afWgsnjt0z6KXNbuAZ
cen2gfeU+BGQKdH2w13EDrGeVTyaNwbATegqhms8R2WGCANUHnC0KtLFNf4gZLENSDtaV5Z3WSZe
ehQ4Qp/0FskASRXETagByVnz3EnLGQ7T/sTSvRqB2BiMK+ZrzoJU5YiNmdsj/VTLGVNkhtzlwKjZ
1FEGEKhR7kbVKohliEuhLVKtGTcxUlVS9Aa/OdiaQSEGQ4etoLBMuHC1Xl2yhS3WAbDujBFRU12F
YREshTCKLfELYm+I2L30YtO8d8s02hFu435SuuoKwlKP0b/BnJGrQ3gBu4iyKOsiGizVqCNaM3Cs
RH0J4x8zjr7V0DafCAq907gATjHToKieR1bvnGGHU3WeDwq7atKpx4tOVF630aFBXKG3iK/91rM+
6SGmlbb15F6zffWCwU63C0xH4JVtk10QNQnSncbPl8xwnPOE1vCmzWBoobklVa5rWlrssdoFCroz
Ng4rBvGBNUdjXtCoG8Cl+lV24RWht9frlkQu9L7HviqcIwq0Bke9ynumF1Q+ajUhYAhJ9OuWDLXl
aKZyiUfXBrxX5g+e63VHgL10Yz3DAqEXKRHNsLHtyo0YAuhbQT350rX02a2yks4T1QY0yBohTmFg
oNWtytrWUMxOwi4ywPxNZ3Qw6CvLzmL0ik926/ttdKFIU0FGrtokfgd9xHpr505x5iCNnoI+rERj
c9d2R6aOECX8RHcv/XqAn9CCbz0nvpyGcGZTubN6yvTUDQj4SptguCghEbKyl1V5kWYyceZV5lRI
20KgCtS5YK7aBj6RaEV0BqjRAyCWZDvfqggnMY1Qf5So4KoZnp9OnbuGEewhrHXOStdbldI+Dm5Z
s2F3lEGOZ1c6WfsptRRrH5NQu3ZwRt449CHnGrCHdG4zlmRCqTfKPg7cUd0GbZVeG2lhQHAggmM/
Fopq7v10MO6yXBX9AgXdNiDvK2dLlGY7Bpf08zKpX/aqre9M+uArl+7yXLNpFTMY6Q5jSiNZc3jo
zhRZ13eWU2TPvt2Od2pXinWMDn9bjTbCj9FOLx23ME9kaejRjPhnMcFGfFD1HbhC1Nqm5W4RzYvT
wPeDs9gtorsMpQDENM7Z2i3SBl1d5cQnztDY986IY2GalasmMwpaqv2CWQOXs0f6FmNI81rBm7z1
EfEBBTHyygSmUcmbUNRNusxhMK19NG33qad2ZGDy2J+FepnvHRShS78e2QJFo95v9D72dyLImu1A
MOxSrwuxdl0yqaBeFDMsXYSnBF37adBx/s+CyBT0z2V0bw8T6ADNkb0pXdU+M5B+6otCU9sn16qc
ZdMTlkVhtFTzgMANo5ogRvYGLkoEIiyy9lrNuHJwy3XntPgG2vyuxCC3bk1mZzPZ2jyxwtZS171S
AdDIYi++CrhM7opehWnntuMGJ0ebLDVDCyAkO22/Q9/thPOsyWtviUzP/OhU9fA5lzSwMUcGqCy7
mCgMlh+Iy4jyc5JH2NwAMGD0jNQb5eusdxur4rGdx/eM9DtOooMmb9BZPtfuJMsd/SY6hC9aXWeS
7WZkxh4ESl4YaPLgTeJe5qDofKGhGNvGJM9Le9EB55MkmPx19RqPnrEJJ8FwCD9t5ak+mqigNa7p
cruTi2403VmOE/20SlQQjmpnLrukxPnpqEwDaadsE01Fm4uA7VDZdb5QhHYmCVw5w4vrzopS7S5o
hAQn0aR0jl5Ez7XGGjvrXsTQsugkTXAU0s2kldb6HjhokXTRUqkmRXWCw+S0HCkWZyXbmVvrRX09
viix9SFVoFdSIKKFRmSxMCbZdsGzjhVssC5z2enhYgJOGCutQMYwcxXbISxiEoGDBHDOiGr1D56s
aYSjih/ICh96QkYmEXklNHFjY3s9EbFEY26mrbitRGZd8LADIpcUqn/PDayujKGjv5i8KNUnzTq9
Bu+U3jaeAt6njnIgt3c6au9nRstAk3xyV/GEUm9u6cWgio9fFPImHEN1k0/CeaOaNPRJnBspT81B
UxZNZeE/9hCEo8xSkYTOa88zcCdVMlgSCWPpSN1M5agoZnWVkrBBWgw1+yJHO3ZOR6i5z6SgMVu0
Q3raMOUqiNiCdRoqlDiD2arndiXi+yrq2aH56OqS8yr1VQNJYxFbC8snJXnmgFrC+tD2jE/U1IeU
3ueaSaXJpbxxW925c4G1u7NWuk4yQ7BBZyJpMBfDiDTJtQIwSctNjNpdVSmmt64FKhtn6OAyhboX
3GSKnQwgH0rI3maYmc8VttNsnRdwTleuWsPbUCXjnkWMFcU/rw2TLUccZ1g/bF8bWfRiui+ElVxy
z3SonRPGYbU/Umvw9N/XfrspmyTd9yiU7ngsWZciYzkIQtfZp+1QX/VDVEVUU+NdN3pSwZER9LAl
MTPPS5/B2YxH0viayvzahHiF0HzxxH/dpPi6Z/GP6yzhfy+Ni59/5qU58cvvToOHMquy5/p3f2r9
lJ0dk6fq+x/6D2yRSJPdKbkVjo44E90I9envNUtOjo/H6Bs75w8P8NozIS1Dh1zAPUoLhO7Iz5A5
IjZQoqkCjrfJf0w5Gq++TkP+RDQpfkPDhGrwBT/3qoYzprw6SQ+GiYuDopmA3LfW0Tffr/eU/QA6
xAiTpsgvTRNMf6Y0pcr/v22WmHGd4UCq/U3cyWSFZRp0Tohm25nbOW3XmYGrcy+V1KY7XlY7tbbk
Di8+K3craowk+cjCkdqDlSxQTpW3luI2Z5VjD7d4GBwT2amdIoyJEuhSQVc4l2C6qwsZqWZPZHFi
TwytEeHzLGfmT/h3q7nLikRYUgtCYjk/Q6JRcowKmXlaoVvcYc3rjq07pJ8Z9JHgTPM1R+CUlsQT
WAEy9LithLrpBiE+YShn02lkTj+sBzbtgChRnBVbkI40OouBh8qigUFT7EJbBBdgByxvHo5lgTG+
Sa54JvWYuxp4Z3D8xb0+RMmh77VBYXih05AvQyhHK5Z+fwoT8NX7ImSYRr2B2nfuRLW87NOgzegI
G+1DaDFGdsLE3Glgxy4p3NJlYQf6lW6FzR1AN+sAGSK5lEkkMOuZzobSZly3ak8nhVmCe9LS64LI
xLbEQMeGlqZT7BUBG8RreXrjPzj0YfyNEle+s4x10RJvHHXjPleE8dwxY71SEb4/BV0Cg4FokOIe
XpN5zsw/1JZ+FTL1TczQu5FmDLGiaZL64OcOxAgiVzpkLvlIbIQ3tOsoDuCZol/rbmjOKbcgYX16
S51Ub+xGI8LMEcUQLQMlBsQsfP1zqHUFzgUburleRx5pTR6+x1RMzXnGFnKZ5DzuKNjqE6A+JYWe
UaYbyYaq2poJUC5E5Gn9KTEjpVxYLDBPXuL211abQUmuGMpqM7tW7Ll0G/uU0DJy52i1xfGidkyC
0Iqwcs5Ry8fFEg8IDlaKFsBsgxJnCGpG2UNYGorMXIYt3q4VPQL5RPqoi0I6LohkxTqfj0tBuK42
V5wkzOgvYe8czdj/yC6aHW0S9PjOrB60HXcNjDQsl0mHPk02oGDdsm/mgZkEnL8Wfv0cilUKmR3V
/KUFD7nk7AvvI4Ip95nZrxx2Zay7T5Er6o0dFo32QI4KpQ3FvdaujcRlvs5r1dmKatrPDmAotJPG
IQERx1OMGKHrqodG+D0I2LxJF2qQ8PtKr5QTTQmyaNk2jfPJzMYxPLAACYgjvWttw25IbgqkWY8D
1rl7xNyuPSvxzuSLNMB6qalE4ISqEpm4MNNum/tQVkE8CInHSqGru9DTIgaSm+ExmbeO16wGh8nr
zB8H+8lpS0EuSOXgNJSxBcy/r+WF2rjVFmZZhRY+aforJXaqz05pVXdh6KtnZj8CwsKCAHnI7wVy
jdJpL6aC4q4rLWtWWl22H0etIMualK1lb4dTOGLrtkvGQUzJ8Qpj+EThwrmAfU9GYUgpDfA42qda
ZPlLEYrKmIWgqeG1eNg8NdcAa8lVielN7TKsCZR3DImlWNIcbB8gsTHY0cIGe0Y9jOzK8bZd4kDz
kSe5We4uY2vo18Q9Wmstj9UtWZk0bXW+xvvSicbHWqk85By1Sh8uqZXTRvreqUM3Dh58ZsrLLsmD
q7ZVEM0zUta2aifGjUlM4mVgd+155el4VqdUa5L5mvTjBMxYtiOu5gro5HXd8MjBO+uNqzDqYtqf
Th4ssfuwJRxNO/yUBl12HsaltawKNl6h0/dbsv7Gx2nqZ88HIqY1UH4MzdioDnz3hNr4QB07L7/P
iZG4l5qnE26HiDJj8iLLGc/w+oZvBzGnCs7sHONuNW/Z/A07xeoZXnY4zmhhI5cj6k3BVa9WBowO
Nw6zzwSyievaRAmAPaVxdASyRfhJy8z8o1V0nTMrinKyhjcmTXhTjLpPWmWI/aqW5YjYNlfz2yoE
wHap2xg8+UoMHjqeahYLQyHMZ++Hg9otQGho4xJp8hREkQ8Ej+pxZ5jbUh0qbJhFXp7SLyIypkud
IVpIT3fOykLGn3vf8599pcwWeaUiMKVZS68spok8I8+P7AxmYlgmvUwu3UFDjeqB0kJZhrhxoWRF
vzPbggQBA77erulafJxWGycg3rI6QxyoM2gnxZFOne32hy4vDLLLidhct4mvbjUo7jDem9ic90iI
+lVhGOGJUSInnOtZbRCsafjrtj8vmx7ApE+tRgAR3eqTIczzZZMkBCWphQkvthBJ+FkWUYrP0Nh3
PRqIGaTwCUvJO7zIkQXeGbHd7XAZo370htqaWnD0mWdZpwawV2W247axsrsEHgzG5rraSGGv64rk
Y+TO8X1s47WvRUL9EBWOOfNTJ975RkdAhxaW6A+DyrVULLtInvkEyrrU6E32F7oGodpWMZjErAYs
1DgeYzRpe2/MeuIdXHsOxqa+RFvQPpssPmsi6IwdotijLDuxGPEHb0baCBu9rqobo7eMDQoyya0b
U0ojajCfIG27Lcad1jk0mmasorhroL5KO99pbs20fAiajesgMp0ZNOyJNwnC/mQ0iho2eaYCDXSj
09jiQb4MuxQHrNYznp6btqbQwhCaG839VtHWVTg44WwMimg7BhCM9NCMdz2X2olt1/RcnMDcN35j
F7hSm+qjw3WGXzG1HwTqq5SMFLM4N5PYviQNkmFKXadEHuYuQuRe0R/p0eoLt9LSiyJEulHEY2Au
2Y2aG9Wq8xs1VYM1DbsRt1IBIwFF/BTWEo2kYgtPRW8dyrMUs/oDabaWukR6l81FWefYaxyiqOoC
qynu1Ife0/KDqEV/mpYh2N4uCr2zyqokM2npMy/C/z9T2ArW1Fy6/JSMRjjQWYj7G2EGaObB0HhP
rl/454mrEJPS5OgQ44S7cNah3GQBha5x35qDXMoWbLxiGsjwCtX17qXKgGnmBW3/SRG+8iki2ypg
fB32RCiGYu3buTzHAWrsnL6Lnnm/5QFQJ+LmsUHjNuZDRXmGohuFX2nXcIc7MMdh1Vlsuz3ooTNh
DcOF7ZX2CvZDdzuaQqxkkSZHRxeUGozLOiZIldvVM5RraclE2/DWfFXdieZ5NU+HwC0vAlrtBeWL
AHhcjzFPKqASdbzMGQAEOxkqTbZuaoY+WwB0qgd3HTjJKtZ87azKc/NOl13rzfRKjYYVSa2TF4A0
dgP9T2nvA9TuyTwD0lsvQE+VRMASFIYomeE6ktGhK++7OijDRRkQ0j4Pxtg9DVCTEANRC3/LFeIg
76URjKFAsqh1lq2hBJKcf0IBkKbhXW1obiXxrWn6xSUKpyqaleyHLsPBxGKgtTSFdVXug8qyz7W+
UZ8CpBXxjKsg1Zesu5PwWm/Y0kboDa4wtgU4sAdKgllXVn5KyuaItkxT2MIcbCtpYT21lrmRsZ7h
XohMtJdxm9pQtVgq2lM9oN+ETCnxvHnvZHIt6IBdxrGeF4vR6exxljmx+RwmOE8WKfSuG8dSBlzd
ivpo23HT0EJH+wIUGf8hxSrzRzwCRZ+DKwkBelS1TzBG7D3rXhZc1iNh9YOTa3hgggq/rWkHy1Fm
5UVjpxVb85JHVFrZYjVQtYULsydD1fFR/tpqE9mwbSv36HSFfqmmlBhLql5HmZeJY8XLPhc9M1Ev
Vp7hV4/UaE25deh3AFeAjLVS3LRfltLgNjFZlxdc2eQSFaGaHQ2nyPUDCoh46bYg5/hdf8jUGFtv
mmedPlPzkmBTrip9DjPHP9AONrdGZHvnET6ZcuqrSo0dkF6QZGRMubmSQ3o3hNjznjSks7d5J+1q
UZAx95zFgX4JgwYZJ2EvYkHTlTzwUBnJVgNeWpY9+jOjrJfCNUhLwqQAWWDwmLV5KWrFZiS2lmjC
yJpZqpcf/Vgp91E/MszptXHcKDVG8MEkLWBN0q3sT7FYKcRJtBzF9mnWewh92ZKx59TXIMDcHXh/
xHSxQ9E8km10ycqdQ3nRA2dvu1m6zWs1ymd9nxlrFUwEwG5ifiG29Euv1Iul0Jkvwb1DIGWGYFpI
AW6WTsa4qhmq5pQ3be5guqgfqQOKJY5FiB9E7CrcNHHGlABBKCDlgkA86eF0DqOGRPNGqWaJEWfV
zAWVN8P4GlwwpI6XWu74BELbjrWfrBFLKjh3qQv3M3Wqs1a5J5dZU6OTBf36SS+T+vOgqpYxU0ib
W3iDHqFuzuSFN2oVHVszwfeTKfF6VJKE2KW6vyak/ICvlmgczAQXVjBZf/Reok0QVr+zsTdtzDz2
9jT8Is67CEgijokPx4FlrbNI1e+KcmRikgWZmCp0BvsI0nGhyi/Gci+kmo0C9bPFI2YTUJYSh9GH
1SnuqoaLiOzhpmzJP9SVIKyZP47xNgOgEMywKmTXJEnZK0o4cRCiN6/MkX6uxBFwyCrs/h3OXdyq
oWivCyX30DXaur4Vnm0vcf3419x67r0vdABOaPAYMjpewNMFZSy9xxQ6LkAWbBSuLw6gAUU5K7DD
QAAQanRqKUaz8fEYnwX62NvQS8PwvIwLb0DWRJgToB+5dRNvYCbdhPUVxuzghsDD9uAonvXAvasd
NJxUTwXgmVWJVy2ZCX0AmaN0pnan1xlVvRaFW6sQ4alUcRHN1JZeRlLzvIJYgoy6sZNwG6eo3po0
SUAPFnQXHaXf6rnIFzho+r0S82EjyUHo8aYgiWoPdZ3FVOyuZKnzebUiXqkqVJNAreMrV4/t69pv
iJsfmlxn2Oh3YlVEYU7CqN4jysfIMp8qF2tOqnV6rSUaSDmzDQ+ZqT9LNoOsyhChq0XPXOxkMHt5
Oy2fyzaKmL/EvdndChZlvsuxQLfYtFn9GJn9MP9/bM7j3E2NeGMMBCliP+j7hSrCjH7x4BPCxJLS
LGInxArz0jH7q1uN/wNNxK8kWb8SWv3MC51kWIcsSOvr7M/90FtT7scH+oPKrZc4Q5Ms2m+EWy/v
60U69nuHiY91UDePT3//m27/JOg8UhyRzDv9wpBLTJD3+te4cjWNPiJWL0y2/EI3xet9dZp+60T8
/mf8ta7t18f55gM8sG+tJz2cRyrsN7C8KSrrj5yC747w1Smga4qvWKBC+vazOz/R8TXI+XC+nBqa
s/8nn/34mMDshqtZBg/1159dwjjXDZB/f+Tzf3eUbz6/oIzVQPh9+ZzfXQLaTwSSqYLr4P/2Evju
Azy9qCS3j3//G7XABDd810nQiHvRVFM3f+MkiJ8mBzrRxhNsmF9fLrr//fvgN0+CYYqJSfyuk6BP
KaWGxVf95UL47mFgqz8hxJzulf/Uk4ArRv/yhGJsxZTj5wfsv/FEhDYAZkCdsAI/vB24ElScZTo1
2ssvJjP/WU8FXZIk+P4r4UUnK7TXZwIPma+XBcKM+Pyk1r4uC//GSfgD98zPKy1kr/jxZY0Nnqqv
BNH/8gfeVp9fH+B1VXl5bvDA/+YHpwThL4f+8nCZfv+Pb+64l5Xvq798WwlfXuf1n79+wF+/9Dev
9fap3v5wEzyVx/KBrPaX59rr25yGpH//2z/TR788fjiUx8en6pvZosbi9LYiTC//979983a/ugp+
9/hVdUzeDjOdmWny9/b7P39YjBfH8u0w02ENR+c6+uX0/bl3uzmWw/ecEcOaoCDvPnKQHB9A1f/w
TJuqQbH13pfYHcHHfvivY5L/94f9sQKP9c0ZYoGZlpb3vsr+WKYUqdF3MJaXZfLdx+Y6jb87sDkN
rt974JNjVPnHx+7pKX872MtdOg253/7gz1+Mp8dHf/jxPTQN0d//AuePAW//7Tgvd5GJ3eHtD/78
Oz80j82D/4T69O1YLwcXhkah9t6TfmjS8Pj57ThfDkxV+fYHf/5dXx7DIw204zfF+uvS9N43fRVE
UfDNA8tQbesv+A6vj0kQfzg7PjZvJ2A6I4YuBAvce9/1TV0fyx89Wl5Lt/ce/+6pqj/MnoAwxW9v
9uXdT5X72x/8+e/z9MjDnAdWXX5zjb9WXO997+sm5Og/3ty8+9jZN+942jQBCnv/GWFVPibH9APG
qA9nwUP2mW93W0HBeqzeDj6df3YNmjYVZO/9HP9EovvbyxONVg210Ptf5jQYs/LbcoBDq5Koy/cf
/BodMkzztwNN5+f14H/B3bs4PlIlvXwdR5j6HzbH9ikOfvVahvwLvowzXmH6qr87OqS8yVr23q/6
9/NJXwrEd9zJ/yKO552HXzzF/vcnndMydaree1oWP99vdFTfDvd6DU0v8Resh/PJ5xj8KpHhS7Pt
L7hu/kjmwzu/gJd1Bg3i91fnq2HzL3hE/EtD6Ds/wb9kCb7z+H9Uo/nOl/nx8+jDP1kvfvNKltSM
qoDurJuaRS9G0//lRf2j/ebPLdpf70LfWq8/+mffbrGnn3iIn47lP/4/AAAA//8=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Calibri"/>
          </a:endParaRPr>
        </a:p>
      </cx:txPr>
    </cx:legend>
  </cx:chart>
  <cx:spPr>
    <a:noFill/>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2.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microsoft.com/office/2014/relationships/chartEx" Target="../charts/chartEx1.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5" Type="http://schemas.openxmlformats.org/officeDocument/2006/relationships/image" Target="../media/image9.png"/><Relationship Id="rId10" Type="http://schemas.openxmlformats.org/officeDocument/2006/relationships/image" Target="../media/image4.svg"/><Relationship Id="rId4" Type="http://schemas.microsoft.com/office/2014/relationships/chartEx" Target="../charts/chartEx2.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15858</xdr:colOff>
      <xdr:row>0</xdr:row>
      <xdr:rowOff>76199</xdr:rowOff>
    </xdr:from>
    <xdr:to>
      <xdr:col>22</xdr:col>
      <xdr:colOff>535782</xdr:colOff>
      <xdr:row>33</xdr:row>
      <xdr:rowOff>85045</xdr:rowOff>
    </xdr:to>
    <xdr:sp macro="" textlink="">
      <xdr:nvSpPr>
        <xdr:cNvPr id="2" name="Rectangle: Rounded Corners 1">
          <a:extLst>
            <a:ext uri="{FF2B5EF4-FFF2-40B4-BE49-F238E27FC236}">
              <a16:creationId xmlns:a16="http://schemas.microsoft.com/office/drawing/2014/main" id="{40F8ED9A-71C4-A39F-FE80-1BAC3F724759}"/>
            </a:ext>
          </a:extLst>
        </xdr:cNvPr>
        <xdr:cNvSpPr/>
      </xdr:nvSpPr>
      <xdr:spPr>
        <a:xfrm>
          <a:off x="15858" y="76199"/>
          <a:ext cx="12766353" cy="6183087"/>
        </a:xfrm>
        <a:prstGeom prst="roundRect">
          <a:avLst>
            <a:gd name="adj" fmla="val 2909"/>
          </a:avLst>
        </a:prstGeom>
        <a:solidFill>
          <a:schemeClr val="bg2">
            <a:lumMod val="90000"/>
          </a:schemeClr>
        </a:solidFill>
        <a:ln>
          <a:noFill/>
        </a:ln>
        <a:effectLst>
          <a:reflection stA="700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76201</xdr:colOff>
      <xdr:row>0</xdr:row>
      <xdr:rowOff>152400</xdr:rowOff>
    </xdr:from>
    <xdr:to>
      <xdr:col>22</xdr:col>
      <xdr:colOff>446485</xdr:colOff>
      <xdr:row>5</xdr:row>
      <xdr:rowOff>82950</xdr:rowOff>
    </xdr:to>
    <xdr:grpSp>
      <xdr:nvGrpSpPr>
        <xdr:cNvPr id="16" name="Group 15">
          <a:extLst>
            <a:ext uri="{FF2B5EF4-FFF2-40B4-BE49-F238E27FC236}">
              <a16:creationId xmlns:a16="http://schemas.microsoft.com/office/drawing/2014/main" id="{25C285CB-547E-E57F-8352-03B7D49758B4}"/>
            </a:ext>
          </a:extLst>
        </xdr:cNvPr>
        <xdr:cNvGrpSpPr/>
      </xdr:nvGrpSpPr>
      <xdr:grpSpPr>
        <a:xfrm>
          <a:off x="790576" y="152400"/>
          <a:ext cx="12493011" cy="904698"/>
          <a:chOff x="76201" y="152400"/>
          <a:chExt cx="10153648" cy="897933"/>
        </a:xfrm>
      </xdr:grpSpPr>
      <xdr:sp macro="" textlink="">
        <xdr:nvSpPr>
          <xdr:cNvPr id="3" name="Rectangle: Rounded Corners 2">
            <a:extLst>
              <a:ext uri="{FF2B5EF4-FFF2-40B4-BE49-F238E27FC236}">
                <a16:creationId xmlns:a16="http://schemas.microsoft.com/office/drawing/2014/main" id="{8DC2B68C-EAFD-84D1-ECF9-1545BCE515D4}"/>
              </a:ext>
            </a:extLst>
          </xdr:cNvPr>
          <xdr:cNvSpPr/>
        </xdr:nvSpPr>
        <xdr:spPr>
          <a:xfrm>
            <a:off x="76201" y="152400"/>
            <a:ext cx="1225191" cy="878883"/>
          </a:xfrm>
          <a:prstGeom prst="roundRect">
            <a:avLst/>
          </a:prstGeom>
          <a:gradFill>
            <a:gsLst>
              <a:gs pos="0">
                <a:schemeClr val="tx2">
                  <a:lumMod val="75000"/>
                </a:schemeClr>
              </a:gs>
              <a:gs pos="100000">
                <a:srgbClr val="084F6A">
                  <a:alpha val="47000"/>
                </a:srgbClr>
              </a:gs>
              <a:gs pos="10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961A9657-F9EF-C57C-6C25-05910543C42C}"/>
              </a:ext>
            </a:extLst>
          </xdr:cNvPr>
          <xdr:cNvSpPr/>
        </xdr:nvSpPr>
        <xdr:spPr>
          <a:xfrm>
            <a:off x="1347942" y="171450"/>
            <a:ext cx="8881907" cy="878883"/>
          </a:xfrm>
          <a:prstGeom prst="roundRect">
            <a:avLst/>
          </a:prstGeom>
          <a:gradFill>
            <a:gsLst>
              <a:gs pos="0">
                <a:schemeClr val="tx2">
                  <a:lumMod val="75000"/>
                </a:schemeClr>
              </a:gs>
              <a:gs pos="100000">
                <a:srgbClr val="084F6A">
                  <a:alpha val="47000"/>
                </a:srgbClr>
              </a:gs>
              <a:gs pos="10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2</xdr:col>
      <xdr:colOff>88571</xdr:colOff>
      <xdr:row>5</xdr:row>
      <xdr:rowOff>102919</xdr:rowOff>
    </xdr:from>
    <xdr:to>
      <xdr:col>4</xdr:col>
      <xdr:colOff>152400</xdr:colOff>
      <xdr:row>32</xdr:row>
      <xdr:rowOff>136071</xdr:rowOff>
    </xdr:to>
    <xdr:sp macro="" textlink="">
      <xdr:nvSpPr>
        <xdr:cNvPr id="5" name="Rectangle: Rounded Corners 4">
          <a:extLst>
            <a:ext uri="{FF2B5EF4-FFF2-40B4-BE49-F238E27FC236}">
              <a16:creationId xmlns:a16="http://schemas.microsoft.com/office/drawing/2014/main" id="{BF25AD0A-C78F-75B4-5E86-9147ACEA8186}"/>
            </a:ext>
          </a:extLst>
        </xdr:cNvPr>
        <xdr:cNvSpPr/>
      </xdr:nvSpPr>
      <xdr:spPr>
        <a:xfrm>
          <a:off x="88571" y="1038410"/>
          <a:ext cx="1288472" cy="5084804"/>
        </a:xfrm>
        <a:prstGeom prst="roundRect">
          <a:avLst>
            <a:gd name="adj" fmla="val 7758"/>
          </a:avLst>
        </a:prstGeom>
        <a:gradFill>
          <a:gsLst>
            <a:gs pos="0">
              <a:schemeClr val="tx2">
                <a:lumMod val="75000"/>
              </a:schemeClr>
            </a:gs>
            <a:gs pos="100000">
              <a:srgbClr val="084F6A">
                <a:alpha val="47000"/>
              </a:srgbClr>
            </a:gs>
            <a:gs pos="10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209551</xdr:colOff>
      <xdr:row>5</xdr:row>
      <xdr:rowOff>129183</xdr:rowOff>
    </xdr:from>
    <xdr:to>
      <xdr:col>10</xdr:col>
      <xdr:colOff>589351</xdr:colOff>
      <xdr:row>10</xdr:row>
      <xdr:rowOff>11231</xdr:rowOff>
    </xdr:to>
    <xdr:grpSp>
      <xdr:nvGrpSpPr>
        <xdr:cNvPr id="12" name="Group 11">
          <a:extLst>
            <a:ext uri="{FF2B5EF4-FFF2-40B4-BE49-F238E27FC236}">
              <a16:creationId xmlns:a16="http://schemas.microsoft.com/office/drawing/2014/main" id="{8C1AC6AD-3E8A-7705-1D8F-AD9538A034E0}"/>
            </a:ext>
          </a:extLst>
        </xdr:cNvPr>
        <xdr:cNvGrpSpPr/>
      </xdr:nvGrpSpPr>
      <xdr:grpSpPr>
        <a:xfrm>
          <a:off x="2136199" y="1103331"/>
          <a:ext cx="4016618" cy="856195"/>
          <a:chOff x="1428751" y="1104900"/>
          <a:chExt cx="4037400" cy="837525"/>
        </a:xfrm>
      </xdr:grpSpPr>
      <xdr:sp macro="" textlink="">
        <xdr:nvSpPr>
          <xdr:cNvPr id="8" name="Rectangle: Rounded Corners 7">
            <a:extLst>
              <a:ext uri="{FF2B5EF4-FFF2-40B4-BE49-F238E27FC236}">
                <a16:creationId xmlns:a16="http://schemas.microsoft.com/office/drawing/2014/main" id="{1FD4DBC7-1DA8-11EB-9881-E1173E77A699}"/>
              </a:ext>
            </a:extLst>
          </xdr:cNvPr>
          <xdr:cNvSpPr/>
        </xdr:nvSpPr>
        <xdr:spPr>
          <a:xfrm>
            <a:off x="1428751" y="1104900"/>
            <a:ext cx="1980000" cy="828000"/>
          </a:xfrm>
          <a:prstGeom prst="roundRect">
            <a:avLst>
              <a:gd name="adj" fmla="val 7464"/>
            </a:avLst>
          </a:prstGeom>
          <a:gradFill>
            <a:gsLst>
              <a:gs pos="0">
                <a:schemeClr val="tx2">
                  <a:lumMod val="75000"/>
                </a:schemeClr>
              </a:gs>
              <a:gs pos="0">
                <a:srgbClr val="084F6A">
                  <a:alpha val="47000"/>
                </a:srgbClr>
              </a:gs>
              <a:gs pos="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AEF9A78-232D-9FAB-6F81-1490F13B9AFF}"/>
              </a:ext>
            </a:extLst>
          </xdr:cNvPr>
          <xdr:cNvSpPr/>
        </xdr:nvSpPr>
        <xdr:spPr>
          <a:xfrm>
            <a:off x="3486151" y="1114425"/>
            <a:ext cx="1980000" cy="828000"/>
          </a:xfrm>
          <a:prstGeom prst="roundRect">
            <a:avLst>
              <a:gd name="adj" fmla="val 7464"/>
            </a:avLst>
          </a:prstGeom>
          <a:gradFill>
            <a:gsLst>
              <a:gs pos="0">
                <a:schemeClr val="tx2">
                  <a:lumMod val="75000"/>
                </a:schemeClr>
              </a:gs>
              <a:gs pos="0">
                <a:srgbClr val="084F6A">
                  <a:alpha val="47000"/>
                </a:srgbClr>
              </a:gs>
              <a:gs pos="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209551</xdr:colOff>
      <xdr:row>10</xdr:row>
      <xdr:rowOff>72032</xdr:rowOff>
    </xdr:from>
    <xdr:to>
      <xdr:col>11</xdr:col>
      <xdr:colOff>9525</xdr:colOff>
      <xdr:row>20</xdr:row>
      <xdr:rowOff>24407</xdr:rowOff>
    </xdr:to>
    <xdr:sp macro="" textlink="">
      <xdr:nvSpPr>
        <xdr:cNvPr id="10" name="Rectangle: Rounded Corners 9">
          <a:extLst>
            <a:ext uri="{FF2B5EF4-FFF2-40B4-BE49-F238E27FC236}">
              <a16:creationId xmlns:a16="http://schemas.microsoft.com/office/drawing/2014/main" id="{912A4B3D-73BF-6DB4-BB48-147B7E4CD1C0}"/>
            </a:ext>
          </a:extLst>
        </xdr:cNvPr>
        <xdr:cNvSpPr/>
      </xdr:nvSpPr>
      <xdr:spPr>
        <a:xfrm>
          <a:off x="1429942" y="2006798"/>
          <a:ext cx="4071341" cy="1887140"/>
        </a:xfrm>
        <a:prstGeom prst="roundRect">
          <a:avLst>
            <a:gd name="adj" fmla="val 7464"/>
          </a:avLst>
        </a:prstGeom>
        <a:gradFill>
          <a:gsLst>
            <a:gs pos="0">
              <a:schemeClr val="tx2">
                <a:lumMod val="75000"/>
              </a:schemeClr>
            </a:gs>
            <a:gs pos="0">
              <a:srgbClr val="084F6A">
                <a:alpha val="47000"/>
              </a:srgbClr>
            </a:gs>
            <a:gs pos="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4</xdr:col>
      <xdr:colOff>209551</xdr:colOff>
      <xdr:row>20</xdr:row>
      <xdr:rowOff>110132</xdr:rowOff>
    </xdr:from>
    <xdr:to>
      <xdr:col>11</xdr:col>
      <xdr:colOff>9525</xdr:colOff>
      <xdr:row>32</xdr:row>
      <xdr:rowOff>119062</xdr:rowOff>
    </xdr:to>
    <xdr:sp macro="" textlink="">
      <xdr:nvSpPr>
        <xdr:cNvPr id="11" name="Rectangle: Rounded Corners 10">
          <a:extLst>
            <a:ext uri="{FF2B5EF4-FFF2-40B4-BE49-F238E27FC236}">
              <a16:creationId xmlns:a16="http://schemas.microsoft.com/office/drawing/2014/main" id="{35D45225-AB7E-5C9F-E55E-823095442F2B}"/>
            </a:ext>
          </a:extLst>
        </xdr:cNvPr>
        <xdr:cNvSpPr/>
      </xdr:nvSpPr>
      <xdr:spPr>
        <a:xfrm>
          <a:off x="1434194" y="3852096"/>
          <a:ext cx="4086224" cy="2254109"/>
        </a:xfrm>
        <a:prstGeom prst="roundRect">
          <a:avLst>
            <a:gd name="adj" fmla="val 7464"/>
          </a:avLst>
        </a:prstGeom>
        <a:gradFill>
          <a:gsLst>
            <a:gs pos="0">
              <a:schemeClr val="tx2">
                <a:lumMod val="75000"/>
              </a:schemeClr>
            </a:gs>
            <a:gs pos="0">
              <a:srgbClr val="084F6A">
                <a:alpha val="47000"/>
              </a:srgbClr>
            </a:gs>
            <a:gs pos="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75606</xdr:colOff>
      <xdr:row>5</xdr:row>
      <xdr:rowOff>154782</xdr:rowOff>
    </xdr:from>
    <xdr:to>
      <xdr:col>16</xdr:col>
      <xdr:colOff>520900</xdr:colOff>
      <xdr:row>22</xdr:row>
      <xdr:rowOff>89297</xdr:rowOff>
    </xdr:to>
    <xdr:sp macro="" textlink="">
      <xdr:nvSpPr>
        <xdr:cNvPr id="6" name="Rectangle: Rounded Corners 14">
          <a:extLst>
            <a:ext uri="{FF2B5EF4-FFF2-40B4-BE49-F238E27FC236}">
              <a16:creationId xmlns:a16="http://schemas.microsoft.com/office/drawing/2014/main" id="{24EEE6EC-2685-1F74-0840-E877CA6308CF}"/>
            </a:ext>
          </a:extLst>
        </xdr:cNvPr>
        <xdr:cNvSpPr/>
      </xdr:nvSpPr>
      <xdr:spPr>
        <a:xfrm>
          <a:off x="5567364" y="1122165"/>
          <a:ext cx="3496270" cy="3223616"/>
        </a:xfrm>
        <a:prstGeom prst="roundRect">
          <a:avLst>
            <a:gd name="adj" fmla="val 7464"/>
          </a:avLst>
        </a:prstGeom>
        <a:gradFill>
          <a:gsLst>
            <a:gs pos="0">
              <a:schemeClr val="tx2">
                <a:lumMod val="75000"/>
              </a:schemeClr>
            </a:gs>
            <a:gs pos="0">
              <a:srgbClr val="084F6A">
                <a:alpha val="47000"/>
              </a:srgbClr>
            </a:gs>
            <a:gs pos="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17317</xdr:colOff>
      <xdr:row>5</xdr:row>
      <xdr:rowOff>87944</xdr:rowOff>
    </xdr:from>
    <xdr:to>
      <xdr:col>22</xdr:col>
      <xdr:colOff>450273</xdr:colOff>
      <xdr:row>13</xdr:row>
      <xdr:rowOff>155863</xdr:rowOff>
    </xdr:to>
    <xdr:sp macro="" textlink="">
      <xdr:nvSpPr>
        <xdr:cNvPr id="17" name="Rectangle: Rounded Corners 16">
          <a:extLst>
            <a:ext uri="{FF2B5EF4-FFF2-40B4-BE49-F238E27FC236}">
              <a16:creationId xmlns:a16="http://schemas.microsoft.com/office/drawing/2014/main" id="{056F1CDF-C25F-4855-59B4-28D14032C0F4}"/>
            </a:ext>
          </a:extLst>
        </xdr:cNvPr>
        <xdr:cNvSpPr/>
      </xdr:nvSpPr>
      <xdr:spPr>
        <a:xfrm>
          <a:off x="9109362" y="1040444"/>
          <a:ext cx="3463638" cy="1591919"/>
        </a:xfrm>
        <a:prstGeom prst="roundRect">
          <a:avLst>
            <a:gd name="adj" fmla="val 7464"/>
          </a:avLst>
        </a:prstGeom>
        <a:gradFill>
          <a:gsLst>
            <a:gs pos="0">
              <a:schemeClr val="tx2">
                <a:lumMod val="75000"/>
              </a:schemeClr>
            </a:gs>
            <a:gs pos="0">
              <a:srgbClr val="084F6A">
                <a:alpha val="47000"/>
              </a:srgbClr>
            </a:gs>
            <a:gs pos="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596506</xdr:colOff>
      <xdr:row>14</xdr:row>
      <xdr:rowOff>44648</xdr:rowOff>
    </xdr:from>
    <xdr:to>
      <xdr:col>22</xdr:col>
      <xdr:colOff>454927</xdr:colOff>
      <xdr:row>32</xdr:row>
      <xdr:rowOff>153080</xdr:rowOff>
    </xdr:to>
    <xdr:sp macro="" textlink="">
      <xdr:nvSpPr>
        <xdr:cNvPr id="18" name="Rectangle: Rounded Corners 17">
          <a:extLst>
            <a:ext uri="{FF2B5EF4-FFF2-40B4-BE49-F238E27FC236}">
              <a16:creationId xmlns:a16="http://schemas.microsoft.com/office/drawing/2014/main" id="{6484C8AF-7B56-5468-571B-E02AC7D21F4C}"/>
            </a:ext>
          </a:extLst>
        </xdr:cNvPr>
        <xdr:cNvSpPr/>
      </xdr:nvSpPr>
      <xdr:spPr>
        <a:xfrm>
          <a:off x="9169006" y="2664023"/>
          <a:ext cx="3532350" cy="3476200"/>
        </a:xfrm>
        <a:prstGeom prst="roundRect">
          <a:avLst>
            <a:gd name="adj" fmla="val 7464"/>
          </a:avLst>
        </a:prstGeom>
        <a:gradFill>
          <a:gsLst>
            <a:gs pos="0">
              <a:schemeClr val="tx2">
                <a:lumMod val="75000"/>
              </a:schemeClr>
            </a:gs>
            <a:gs pos="0">
              <a:srgbClr val="084F6A">
                <a:alpha val="47000"/>
              </a:srgbClr>
            </a:gs>
            <a:gs pos="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75606</xdr:colOff>
      <xdr:row>22</xdr:row>
      <xdr:rowOff>163712</xdr:rowOff>
    </xdr:from>
    <xdr:to>
      <xdr:col>16</xdr:col>
      <xdr:colOff>544286</xdr:colOff>
      <xdr:row>32</xdr:row>
      <xdr:rowOff>136071</xdr:rowOff>
    </xdr:to>
    <xdr:sp macro="" textlink="">
      <xdr:nvSpPr>
        <xdr:cNvPr id="21" name="Rectangle: Rounded Corners 20">
          <a:extLst>
            <a:ext uri="{FF2B5EF4-FFF2-40B4-BE49-F238E27FC236}">
              <a16:creationId xmlns:a16="http://schemas.microsoft.com/office/drawing/2014/main" id="{D34AA00D-EF82-C67F-17E2-D942717D68F5}"/>
            </a:ext>
          </a:extLst>
        </xdr:cNvPr>
        <xdr:cNvSpPr/>
      </xdr:nvSpPr>
      <xdr:spPr>
        <a:xfrm>
          <a:off x="5586499" y="4279873"/>
          <a:ext cx="3530287" cy="1843341"/>
        </a:xfrm>
        <a:prstGeom prst="roundRect">
          <a:avLst>
            <a:gd name="adj" fmla="val 7464"/>
          </a:avLst>
        </a:prstGeom>
        <a:gradFill>
          <a:gsLst>
            <a:gs pos="0">
              <a:srgbClr val="084F6A"/>
            </a:gs>
            <a:gs pos="0">
              <a:srgbClr val="084F6A">
                <a:alpha val="47000"/>
              </a:srgbClr>
            </a:gs>
            <a:gs pos="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262457</xdr:colOff>
      <xdr:row>1</xdr:row>
      <xdr:rowOff>126034</xdr:rowOff>
    </xdr:from>
    <xdr:to>
      <xdr:col>17</xdr:col>
      <xdr:colOff>603651</xdr:colOff>
      <xdr:row>5</xdr:row>
      <xdr:rowOff>54952</xdr:rowOff>
    </xdr:to>
    <xdr:sp macro="" textlink="">
      <xdr:nvSpPr>
        <xdr:cNvPr id="22" name="TextBox 21">
          <a:extLst>
            <a:ext uri="{FF2B5EF4-FFF2-40B4-BE49-F238E27FC236}">
              <a16:creationId xmlns:a16="http://schemas.microsoft.com/office/drawing/2014/main" id="{67F7B6A9-5756-EAFF-36BB-A8A8E1605362}"/>
            </a:ext>
          </a:extLst>
        </xdr:cNvPr>
        <xdr:cNvSpPr txBox="1"/>
      </xdr:nvSpPr>
      <xdr:spPr>
        <a:xfrm>
          <a:off x="2075870" y="309207"/>
          <a:ext cx="7594848" cy="66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ln>
                <a:noFill/>
              </a:ln>
              <a:solidFill>
                <a:schemeClr val="bg1"/>
              </a:solidFill>
              <a:latin typeface="+mn-lt"/>
            </a:rPr>
            <a:t>SALE</a:t>
          </a:r>
          <a:r>
            <a:rPr lang="en-IN" sz="3600" b="1" baseline="0">
              <a:ln>
                <a:noFill/>
              </a:ln>
              <a:solidFill>
                <a:schemeClr val="bg1"/>
              </a:solidFill>
              <a:latin typeface="+mn-lt"/>
            </a:rPr>
            <a:t> &amp; PROFIT DASHBOARD</a:t>
          </a:r>
          <a:endParaRPr lang="en-IN" sz="3600" b="1">
            <a:ln>
              <a:noFill/>
            </a:ln>
            <a:solidFill>
              <a:schemeClr val="bg1"/>
            </a:solidFill>
            <a:latin typeface="+mn-lt"/>
          </a:endParaRPr>
        </a:p>
      </xdr:txBody>
    </xdr:sp>
    <xdr:clientData/>
  </xdr:twoCellAnchor>
  <xdr:twoCellAnchor>
    <xdr:from>
      <xdr:col>5</xdr:col>
      <xdr:colOff>298544</xdr:colOff>
      <xdr:row>6</xdr:row>
      <xdr:rowOff>28433</xdr:rowOff>
    </xdr:from>
    <xdr:to>
      <xdr:col>7</xdr:col>
      <xdr:colOff>355410</xdr:colOff>
      <xdr:row>8</xdr:row>
      <xdr:rowOff>14217</xdr:rowOff>
    </xdr:to>
    <xdr:sp macro="" textlink="">
      <xdr:nvSpPr>
        <xdr:cNvPr id="23" name="TextBox 22">
          <a:extLst>
            <a:ext uri="{FF2B5EF4-FFF2-40B4-BE49-F238E27FC236}">
              <a16:creationId xmlns:a16="http://schemas.microsoft.com/office/drawing/2014/main" id="{48F090F3-BE07-480C-E2E9-627AF6ADDF88}"/>
            </a:ext>
          </a:extLst>
        </xdr:cNvPr>
        <xdr:cNvSpPr txBox="1"/>
      </xdr:nvSpPr>
      <xdr:spPr>
        <a:xfrm>
          <a:off x="2132462" y="1137314"/>
          <a:ext cx="1279478" cy="355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SALES</a:t>
          </a:r>
          <a:endParaRPr lang="en-IN" sz="1600" b="1"/>
        </a:p>
      </xdr:txBody>
    </xdr:sp>
    <xdr:clientData/>
  </xdr:twoCellAnchor>
  <xdr:twoCellAnchor>
    <xdr:from>
      <xdr:col>8</xdr:col>
      <xdr:colOff>412276</xdr:colOff>
      <xdr:row>6</xdr:row>
      <xdr:rowOff>71082</xdr:rowOff>
    </xdr:from>
    <xdr:to>
      <xdr:col>10</xdr:col>
      <xdr:colOff>597090</xdr:colOff>
      <xdr:row>8</xdr:row>
      <xdr:rowOff>0</xdr:rowOff>
    </xdr:to>
    <xdr:sp macro="" textlink="">
      <xdr:nvSpPr>
        <xdr:cNvPr id="24" name="TextBox 23">
          <a:extLst>
            <a:ext uri="{FF2B5EF4-FFF2-40B4-BE49-F238E27FC236}">
              <a16:creationId xmlns:a16="http://schemas.microsoft.com/office/drawing/2014/main" id="{0E715B7A-7B13-12DC-C21F-9DCBB826B9F0}"/>
            </a:ext>
          </a:extLst>
        </xdr:cNvPr>
        <xdr:cNvSpPr txBox="1"/>
      </xdr:nvSpPr>
      <xdr:spPr>
        <a:xfrm>
          <a:off x="4080112" y="1179963"/>
          <a:ext cx="1407426" cy="298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PROFIT</a:t>
          </a:r>
          <a:endParaRPr lang="en-IN" sz="1600" b="1"/>
        </a:p>
      </xdr:txBody>
    </xdr:sp>
    <xdr:clientData/>
  </xdr:twoCellAnchor>
  <xdr:twoCellAnchor>
    <xdr:from>
      <xdr:col>5</xdr:col>
      <xdr:colOff>42650</xdr:colOff>
      <xdr:row>7</xdr:row>
      <xdr:rowOff>99515</xdr:rowOff>
    </xdr:from>
    <xdr:to>
      <xdr:col>7</xdr:col>
      <xdr:colOff>454927</xdr:colOff>
      <xdr:row>9</xdr:row>
      <xdr:rowOff>71082</xdr:rowOff>
    </xdr:to>
    <xdr:sp macro="" textlink="'Pivot Tables'!B4">
      <xdr:nvSpPr>
        <xdr:cNvPr id="25" name="TextBox 24">
          <a:extLst>
            <a:ext uri="{FF2B5EF4-FFF2-40B4-BE49-F238E27FC236}">
              <a16:creationId xmlns:a16="http://schemas.microsoft.com/office/drawing/2014/main" id="{3744E6A8-B259-C333-25D2-3752781B020A}"/>
            </a:ext>
          </a:extLst>
        </xdr:cNvPr>
        <xdr:cNvSpPr txBox="1"/>
      </xdr:nvSpPr>
      <xdr:spPr>
        <a:xfrm>
          <a:off x="1876568" y="1393209"/>
          <a:ext cx="1634889" cy="341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14A142-CF15-4C65-A174-00B1DFE4380A}" type="TxLink">
            <a:rPr lang="en-US" sz="1600" b="1" i="0" u="none" strike="noStrike">
              <a:solidFill>
                <a:srgbClr val="000000"/>
              </a:solidFill>
              <a:latin typeface="Calibri"/>
              <a:cs typeface="Calibri"/>
            </a:rPr>
            <a:pPr algn="ctr"/>
            <a:t> ₹ 23,05,506.80 </a:t>
          </a:fld>
          <a:endParaRPr lang="en-IN" sz="1600" b="1"/>
        </a:p>
      </xdr:txBody>
    </xdr:sp>
    <xdr:clientData/>
  </xdr:twoCellAnchor>
  <xdr:twoCellAnchor>
    <xdr:from>
      <xdr:col>8</xdr:col>
      <xdr:colOff>341193</xdr:colOff>
      <xdr:row>7</xdr:row>
      <xdr:rowOff>142164</xdr:rowOff>
    </xdr:from>
    <xdr:to>
      <xdr:col>10</xdr:col>
      <xdr:colOff>597088</xdr:colOff>
      <xdr:row>9</xdr:row>
      <xdr:rowOff>127947</xdr:rowOff>
    </xdr:to>
    <xdr:sp macro="" textlink="'Pivot Tables'!B7">
      <xdr:nvSpPr>
        <xdr:cNvPr id="26" name="TextBox 25">
          <a:extLst>
            <a:ext uri="{FF2B5EF4-FFF2-40B4-BE49-F238E27FC236}">
              <a16:creationId xmlns:a16="http://schemas.microsoft.com/office/drawing/2014/main" id="{B1E61522-D6CF-6381-B8AD-A50197429A4D}"/>
            </a:ext>
          </a:extLst>
        </xdr:cNvPr>
        <xdr:cNvSpPr txBox="1"/>
      </xdr:nvSpPr>
      <xdr:spPr>
        <a:xfrm>
          <a:off x="4009029" y="1435858"/>
          <a:ext cx="1478507" cy="355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48AB2A8-F556-48E1-A2E3-44F22E0A6EED}" type="TxLink">
            <a:rPr lang="en-US" sz="1600" b="1" i="0" u="none" strike="noStrike">
              <a:solidFill>
                <a:srgbClr val="000000"/>
              </a:solidFill>
              <a:latin typeface="Calibri"/>
              <a:ea typeface="+mn-ea"/>
              <a:cs typeface="Calibri"/>
            </a:rPr>
            <a:pPr marL="0" indent="0" algn="ctr"/>
            <a:t> ₹ 3,73,123.74 </a:t>
          </a:fld>
          <a:endParaRPr lang="en-IN" sz="1600" b="1" i="0" u="none" strike="noStrike">
            <a:solidFill>
              <a:srgbClr val="000000"/>
            </a:solidFill>
            <a:latin typeface="Calibri"/>
            <a:ea typeface="+mn-ea"/>
            <a:cs typeface="Calibri"/>
          </a:endParaRPr>
        </a:p>
      </xdr:txBody>
    </xdr:sp>
    <xdr:clientData/>
  </xdr:twoCellAnchor>
  <xdr:twoCellAnchor>
    <xdr:from>
      <xdr:col>4</xdr:col>
      <xdr:colOff>326978</xdr:colOff>
      <xdr:row>10</xdr:row>
      <xdr:rowOff>98053</xdr:rowOff>
    </xdr:from>
    <xdr:to>
      <xdr:col>10</xdr:col>
      <xdr:colOff>540224</xdr:colOff>
      <xdr:row>19</xdr:row>
      <xdr:rowOff>170598</xdr:rowOff>
    </xdr:to>
    <xdr:graphicFrame macro="">
      <xdr:nvGraphicFramePr>
        <xdr:cNvPr id="27" name="Chart 26">
          <a:extLst>
            <a:ext uri="{FF2B5EF4-FFF2-40B4-BE49-F238E27FC236}">
              <a16:creationId xmlns:a16="http://schemas.microsoft.com/office/drawing/2014/main" id="{D766789F-C93E-4BFA-8AAD-49D5D914B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98051</xdr:colOff>
      <xdr:row>5</xdr:row>
      <xdr:rowOff>141650</xdr:rowOff>
    </xdr:from>
    <xdr:to>
      <xdr:col>16</xdr:col>
      <xdr:colOff>518272</xdr:colOff>
      <xdr:row>22</xdr:row>
      <xdr:rowOff>14008</xdr:rowOff>
    </xdr:to>
    <mc:AlternateContent xmlns:mc="http://schemas.openxmlformats.org/markup-compatibility/2006">
      <mc:Choice xmlns:cx2="http://schemas.microsoft.com/office/drawing/2015/10/21/chartex" Requires="cx2">
        <xdr:graphicFrame macro="">
          <xdr:nvGraphicFramePr>
            <xdr:cNvPr id="7" name="Chart 27">
              <a:extLst>
                <a:ext uri="{FF2B5EF4-FFF2-40B4-BE49-F238E27FC236}">
                  <a16:creationId xmlns:a16="http://schemas.microsoft.com/office/drawing/2014/main" id="{87660AAA-9533-41F4-B69D-D5059E5CDF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584451" y="1094150"/>
              <a:ext cx="3468221" cy="31108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591706</xdr:colOff>
      <xdr:row>5</xdr:row>
      <xdr:rowOff>109483</xdr:rowOff>
    </xdr:from>
    <xdr:to>
      <xdr:col>22</xdr:col>
      <xdr:colOff>415637</xdr:colOff>
      <xdr:row>13</xdr:row>
      <xdr:rowOff>142164</xdr:rowOff>
    </xdr:to>
    <xdr:graphicFrame macro="">
      <xdr:nvGraphicFramePr>
        <xdr:cNvPr id="13" name="Chart 12">
          <a:extLst>
            <a:ext uri="{FF2B5EF4-FFF2-40B4-BE49-F238E27FC236}">
              <a16:creationId xmlns:a16="http://schemas.microsoft.com/office/drawing/2014/main" id="{5FA579C2-C47E-4782-AF32-3EEC986E7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596506</xdr:colOff>
      <xdr:row>14</xdr:row>
      <xdr:rowOff>44648</xdr:rowOff>
    </xdr:from>
    <xdr:to>
      <xdr:col>22</xdr:col>
      <xdr:colOff>459241</xdr:colOff>
      <xdr:row>32</xdr:row>
      <xdr:rowOff>136071</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0AC026D0-9193-41B1-B676-B13C2A9694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130906" y="2711648"/>
              <a:ext cx="3520335" cy="35204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88736</xdr:colOff>
      <xdr:row>23</xdr:row>
      <xdr:rowOff>10823</xdr:rowOff>
    </xdr:from>
    <xdr:to>
      <xdr:col>16</xdr:col>
      <xdr:colOff>465426</xdr:colOff>
      <xdr:row>32</xdr:row>
      <xdr:rowOff>150395</xdr:rowOff>
    </xdr:to>
    <xdr:graphicFrame macro="">
      <xdr:nvGraphicFramePr>
        <xdr:cNvPr id="29" name="Chart 28">
          <a:extLst>
            <a:ext uri="{FF2B5EF4-FFF2-40B4-BE49-F238E27FC236}">
              <a16:creationId xmlns:a16="http://schemas.microsoft.com/office/drawing/2014/main" id="{6638E583-005B-42DF-8816-75B159250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257736</xdr:colOff>
      <xdr:row>20</xdr:row>
      <xdr:rowOff>134472</xdr:rowOff>
    </xdr:from>
    <xdr:to>
      <xdr:col>10</xdr:col>
      <xdr:colOff>582706</xdr:colOff>
      <xdr:row>32</xdr:row>
      <xdr:rowOff>123266</xdr:rowOff>
    </xdr:to>
    <xdr:graphicFrame macro="">
      <xdr:nvGraphicFramePr>
        <xdr:cNvPr id="30" name="Chart 29">
          <a:extLst>
            <a:ext uri="{FF2B5EF4-FFF2-40B4-BE49-F238E27FC236}">
              <a16:creationId xmlns:a16="http://schemas.microsoft.com/office/drawing/2014/main" id="{0501439D-E9ED-4D70-99AE-31C53037D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95683</xdr:colOff>
      <xdr:row>5</xdr:row>
      <xdr:rowOff>79375</xdr:rowOff>
    </xdr:from>
    <xdr:to>
      <xdr:col>4</xdr:col>
      <xdr:colOff>162287</xdr:colOff>
      <xdr:row>11</xdr:row>
      <xdr:rowOff>138546</xdr:rowOff>
    </xdr:to>
    <mc:AlternateContent xmlns:mc="http://schemas.openxmlformats.org/markup-compatibility/2006" xmlns:a14="http://schemas.microsoft.com/office/drawing/2010/main">
      <mc:Choice Requires="a14">
        <xdr:graphicFrame macro="">
          <xdr:nvGraphicFramePr>
            <xdr:cNvPr id="34" name="Category">
              <a:extLst>
                <a:ext uri="{FF2B5EF4-FFF2-40B4-BE49-F238E27FC236}">
                  <a16:creationId xmlns:a16="http://schemas.microsoft.com/office/drawing/2014/main" id="{C949CD69-D2DC-46CB-BDE1-3493567CB04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683" y="995240"/>
              <a:ext cx="1275546" cy="1158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83156</xdr:colOff>
      <xdr:row>16</xdr:row>
      <xdr:rowOff>65011</xdr:rowOff>
    </xdr:from>
    <xdr:to>
      <xdr:col>4</xdr:col>
      <xdr:colOff>151190</xdr:colOff>
      <xdr:row>32</xdr:row>
      <xdr:rowOff>136071</xdr:rowOff>
    </xdr:to>
    <mc:AlternateContent xmlns:mc="http://schemas.openxmlformats.org/markup-compatibility/2006" xmlns:a14="http://schemas.microsoft.com/office/drawing/2010/main">
      <mc:Choice Requires="a14">
        <xdr:graphicFrame macro="">
          <xdr:nvGraphicFramePr>
            <xdr:cNvPr id="35" name="Month">
              <a:extLst>
                <a:ext uri="{FF2B5EF4-FFF2-40B4-BE49-F238E27FC236}">
                  <a16:creationId xmlns:a16="http://schemas.microsoft.com/office/drawing/2014/main" id="{9E04A918-2ADA-4A08-B1F5-BEBDECE9BD1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3156" y="2995780"/>
              <a:ext cx="1276976" cy="3001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82428</xdr:colOff>
      <xdr:row>11</xdr:row>
      <xdr:rowOff>132909</xdr:rowOff>
    </xdr:from>
    <xdr:to>
      <xdr:col>4</xdr:col>
      <xdr:colOff>155058</xdr:colOff>
      <xdr:row>16</xdr:row>
      <xdr:rowOff>66455</xdr:rowOff>
    </xdr:to>
    <mc:AlternateContent xmlns:mc="http://schemas.openxmlformats.org/markup-compatibility/2006" xmlns:a14="http://schemas.microsoft.com/office/drawing/2010/main">
      <mc:Choice Requires="a14">
        <xdr:graphicFrame macro="">
          <xdr:nvGraphicFramePr>
            <xdr:cNvPr id="36" name="Year">
              <a:extLst>
                <a:ext uri="{FF2B5EF4-FFF2-40B4-BE49-F238E27FC236}">
                  <a16:creationId xmlns:a16="http://schemas.microsoft.com/office/drawing/2014/main" id="{95DFD625-C855-4F6F-A3C5-3C96DE9B554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2428" y="2147813"/>
              <a:ext cx="1281572" cy="849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293076</xdr:colOff>
      <xdr:row>1</xdr:row>
      <xdr:rowOff>36635</xdr:rowOff>
    </xdr:from>
    <xdr:to>
      <xdr:col>7</xdr:col>
      <xdr:colOff>1425</xdr:colOff>
      <xdr:row>5</xdr:row>
      <xdr:rowOff>145073</xdr:rowOff>
    </xdr:to>
    <xdr:pic>
      <xdr:nvPicPr>
        <xdr:cNvPr id="38" name="Graphic 37" descr="Bar graph with upward trend with solid fill">
          <a:extLst>
            <a:ext uri="{FF2B5EF4-FFF2-40B4-BE49-F238E27FC236}">
              <a16:creationId xmlns:a16="http://schemas.microsoft.com/office/drawing/2014/main" id="{E369C26B-850A-D823-211B-66F18CD7BA4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06489" y="219808"/>
          <a:ext cx="914400" cy="841130"/>
        </a:xfrm>
        <a:prstGeom prst="rect">
          <a:avLst/>
        </a:prstGeom>
      </xdr:spPr>
    </xdr:pic>
    <xdr:clientData/>
  </xdr:twoCellAnchor>
  <xdr:twoCellAnchor editAs="oneCell">
    <xdr:from>
      <xdr:col>18</xdr:col>
      <xdr:colOff>421299</xdr:colOff>
      <xdr:row>1</xdr:row>
      <xdr:rowOff>0</xdr:rowOff>
    </xdr:from>
    <xdr:to>
      <xdr:col>20</xdr:col>
      <xdr:colOff>36634</xdr:colOff>
      <xdr:row>5</xdr:row>
      <xdr:rowOff>36636</xdr:rowOff>
    </xdr:to>
    <xdr:pic>
      <xdr:nvPicPr>
        <xdr:cNvPr id="40" name="Graphic 39" descr="Arrow circle with solid fill">
          <a:extLst>
            <a:ext uri="{FF2B5EF4-FFF2-40B4-BE49-F238E27FC236}">
              <a16:creationId xmlns:a16="http://schemas.microsoft.com/office/drawing/2014/main" id="{1D02651F-BDDA-2E50-F57E-645435671B0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092837" y="183173"/>
          <a:ext cx="824278" cy="769328"/>
        </a:xfrm>
        <a:prstGeom prst="rect">
          <a:avLst/>
        </a:prstGeom>
        <a:ln>
          <a:noFill/>
        </a:ln>
        <a:effectLst>
          <a:outerShdw blurRad="44450" dist="27940" dir="5400000" algn="ctr">
            <a:srgbClr val="000000">
              <a:alpha val="32000"/>
            </a:srgbClr>
          </a:outerShdw>
        </a:effectLst>
        <a:scene3d>
          <a:camera prst="obliqueTopRight"/>
          <a:lightRig rig="balanced" dir="t">
            <a:rot lat="0" lon="0" rev="8700000"/>
          </a:lightRig>
        </a:scene3d>
        <a:sp3d>
          <a:bevelT w="190500" h="38100"/>
        </a:sp3d>
      </xdr:spPr>
    </xdr:pic>
    <xdr:clientData/>
  </xdr:twoCellAnchor>
  <xdr:twoCellAnchor editAs="oneCell">
    <xdr:from>
      <xdr:col>20</xdr:col>
      <xdr:colOff>164856</xdr:colOff>
      <xdr:row>0</xdr:row>
      <xdr:rowOff>146538</xdr:rowOff>
    </xdr:from>
    <xdr:to>
      <xdr:col>21</xdr:col>
      <xdr:colOff>364881</xdr:colOff>
      <xdr:row>5</xdr:row>
      <xdr:rowOff>91587</xdr:rowOff>
    </xdr:to>
    <xdr:pic>
      <xdr:nvPicPr>
        <xdr:cNvPr id="42" name="Graphic 41" descr="Presentation with bar chart with solid fill">
          <a:extLst>
            <a:ext uri="{FF2B5EF4-FFF2-40B4-BE49-F238E27FC236}">
              <a16:creationId xmlns:a16="http://schemas.microsoft.com/office/drawing/2014/main" id="{8B188994-175A-A540-E489-CAAD6A5AD6E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045337" y="146538"/>
          <a:ext cx="804496" cy="860914"/>
        </a:xfrm>
        <a:prstGeom prst="rect">
          <a:avLst/>
        </a:prstGeom>
      </xdr:spPr>
    </xdr:pic>
    <xdr:clientData/>
  </xdr:twoCellAnchor>
  <xdr:twoCellAnchor editAs="oneCell">
    <xdr:from>
      <xdr:col>2</xdr:col>
      <xdr:colOff>369626</xdr:colOff>
      <xdr:row>0</xdr:row>
      <xdr:rowOff>184812</xdr:rowOff>
    </xdr:from>
    <xdr:to>
      <xdr:col>4</xdr:col>
      <xdr:colOff>0</xdr:colOff>
      <xdr:row>5</xdr:row>
      <xdr:rowOff>132496</xdr:rowOff>
    </xdr:to>
    <xdr:pic>
      <xdr:nvPicPr>
        <xdr:cNvPr id="15" name="Graphic 14" descr="Brain in head with solid fill">
          <a:extLst>
            <a:ext uri="{FF2B5EF4-FFF2-40B4-BE49-F238E27FC236}">
              <a16:creationId xmlns:a16="http://schemas.microsoft.com/office/drawing/2014/main" id="{4EF02B8B-37A6-D002-BAF9-983B4383DB8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69626" y="184812"/>
          <a:ext cx="852986" cy="871751"/>
        </a:xfrm>
        <a:prstGeom prst="rect">
          <a:avLst/>
        </a:prstGeom>
      </xdr:spPr>
    </xdr:pic>
    <xdr:clientData/>
  </xdr:twoCellAnchor>
  <xdr:twoCellAnchor editAs="oneCell">
    <xdr:from>
      <xdr:col>4</xdr:col>
      <xdr:colOff>227463</xdr:colOff>
      <xdr:row>6</xdr:row>
      <xdr:rowOff>14215</xdr:rowOff>
    </xdr:from>
    <xdr:to>
      <xdr:col>5</xdr:col>
      <xdr:colOff>227463</xdr:colOff>
      <xdr:row>10</xdr:row>
      <xdr:rowOff>4549</xdr:rowOff>
    </xdr:to>
    <xdr:pic>
      <xdr:nvPicPr>
        <xdr:cNvPr id="28" name="Graphic 27" descr="Money with solid fill">
          <a:extLst>
            <a:ext uri="{FF2B5EF4-FFF2-40B4-BE49-F238E27FC236}">
              <a16:creationId xmlns:a16="http://schemas.microsoft.com/office/drawing/2014/main" id="{8832FEBC-786B-6286-5800-C2FD344D99A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50075" y="1123096"/>
          <a:ext cx="611306" cy="729587"/>
        </a:xfrm>
        <a:prstGeom prst="rect">
          <a:avLst/>
        </a:prstGeom>
      </xdr:spPr>
    </xdr:pic>
    <xdr:clientData/>
  </xdr:twoCellAnchor>
  <xdr:twoCellAnchor editAs="oneCell">
    <xdr:from>
      <xdr:col>7</xdr:col>
      <xdr:colOff>412276</xdr:colOff>
      <xdr:row>6</xdr:row>
      <xdr:rowOff>0</xdr:rowOff>
    </xdr:from>
    <xdr:to>
      <xdr:col>8</xdr:col>
      <xdr:colOff>497574</xdr:colOff>
      <xdr:row>9</xdr:row>
      <xdr:rowOff>142164</xdr:rowOff>
    </xdr:to>
    <xdr:pic>
      <xdr:nvPicPr>
        <xdr:cNvPr id="32" name="Graphic 31" descr="Coins with solid fill">
          <a:extLst>
            <a:ext uri="{FF2B5EF4-FFF2-40B4-BE49-F238E27FC236}">
              <a16:creationId xmlns:a16="http://schemas.microsoft.com/office/drawing/2014/main" id="{AAFC1F53-962C-FEF5-75EE-8637B2DE407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468806" y="1108881"/>
          <a:ext cx="696604" cy="69660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Sharma" refreshedDate="46177.707810995373" createdVersion="8" refreshedVersion="8" minRefreshableVersion="3" recordCount="100" xr:uid="{4DD2868D-6EF8-4CD4-9846-2D312E2A7EB1}">
  <cacheSource type="worksheet">
    <worksheetSource name="Table1"/>
  </cacheSource>
  <cacheFields count="12">
    <cacheField name="Order Date" numFmtId="164">
      <sharedItems/>
    </cacheField>
    <cacheField name="Order_Date" numFmtId="164">
      <sharedItems/>
    </cacheField>
    <cacheField name="Customer Name" numFmtId="0">
      <sharedItems count="8">
        <s v="Amit Sharma"/>
        <s v="Sneha Patel"/>
        <s v="Rahul Verma"/>
        <s v="Vikas Kumar"/>
        <s v="Neha Gupta"/>
        <s v="Rohit Yadav"/>
        <s v="Priya Singh"/>
        <s v="Anjali Mishra"/>
      </sharedItems>
    </cacheField>
    <cacheField name="Salesman Name" numFmtId="0">
      <sharedItems/>
    </cacheField>
    <cacheField name="State" numFmtId="0">
      <sharedItems count="6">
        <s v="Rajasthan"/>
        <s v="Uttar Pradesh"/>
        <s v="Gujarat"/>
        <s v="Karnataka"/>
        <s v="Delhi"/>
        <s v="Maharashtra"/>
      </sharedItems>
    </cacheField>
    <cacheField name="Category" numFmtId="0">
      <sharedItems count="3">
        <s v="Office Supplies"/>
        <s v="Furniture"/>
        <s v="Electronics"/>
      </sharedItems>
    </cacheField>
    <cacheField name="Sub-Category" numFmtId="0">
      <sharedItems count="9">
        <s v="Paper"/>
        <s v="Binder"/>
        <s v="Bookcase"/>
        <s v="Printer"/>
        <s v="Laptop"/>
        <s v="Chair"/>
        <s v="Table"/>
        <s v="Pen"/>
        <s v="Mobile"/>
      </sharedItems>
    </cacheField>
    <cacheField name="Sales" numFmtId="0">
      <sharedItems containsSemiMixedTypes="0" containsString="0" containsNumber="1" minValue="1202.49" maxValue="49092.79"/>
    </cacheField>
    <cacheField name="Quantity" numFmtId="0">
      <sharedItems containsSemiMixedTypes="0" containsString="0" containsNumber="1" containsInteger="1" minValue="1" maxValue="15"/>
    </cacheField>
    <cacheField name="Profit" numFmtId="0">
      <sharedItems containsSemiMixedTypes="0" containsString="0" containsNumber="1" minValue="215.7" maxValue="10417.81"/>
    </cacheField>
    <cacheField name="Month" numFmtId="0">
      <sharedItems count="12">
        <s v="February"/>
        <s v="August"/>
        <s v="April"/>
        <s v="January"/>
        <s v="March"/>
        <s v="June"/>
        <s v="October"/>
        <s v="November"/>
        <s v="July"/>
        <s v="December"/>
        <s v="May"/>
        <s v="September"/>
      </sharedItems>
    </cacheField>
    <cacheField name="Year" numFmtId="0">
      <sharedItems containsSemiMixedTypes="0" containsString="0" containsNumber="1" containsInteger="1" minValue="2025" maxValue="2026" count="2">
        <n v="2026"/>
        <n v="2025"/>
      </sharedItems>
    </cacheField>
  </cacheFields>
  <extLst>
    <ext xmlns:x14="http://schemas.microsoft.com/office/spreadsheetml/2009/9/main" uri="{725AE2AE-9491-48be-B2B4-4EB974FC3084}">
      <x14:pivotCacheDefinition pivotCacheId="14856782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Sharma" refreshedDate="46177.7220087963" createdVersion="8" refreshedVersion="8" minRefreshableVersion="3" recordCount="17" xr:uid="{C70814D4-3521-4970-AC80-89477BFC86D5}">
  <cacheSource type="worksheet">
    <worksheetSource name="Table2"/>
  </cacheSource>
  <cacheFields count="2">
    <cacheField name="Customer Name" numFmtId="0">
      <sharedItems count="8">
        <s v="Amit Sharma"/>
        <s v="Sneha Patel"/>
        <s v="Rahul Verma"/>
        <s v="Vikas Kumar"/>
        <s v="Neha Gupta"/>
        <s v="Rohit Yadav"/>
        <s v="Priya Singh"/>
        <s v="Anjali Mishra"/>
      </sharedItems>
    </cacheField>
    <cacheField name="Year" numFmtId="0">
      <sharedItems containsSemiMixedTypes="0" containsString="0" containsNumber="1" containsInteger="1" minValue="2025" maxValue="2026" count="2">
        <n v="2026"/>
        <n v="202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2026-02-18"/>
    <s v="18-02-2026"/>
    <x v="0"/>
    <s v="Rakesh"/>
    <x v="0"/>
    <x v="0"/>
    <x v="0"/>
    <n v="2002.87"/>
    <n v="8"/>
    <n v="486.92"/>
    <x v="0"/>
    <x v="0"/>
  </r>
  <r>
    <s v="2025-02-27"/>
    <s v="27-02-2025"/>
    <x v="1"/>
    <s v="Suman"/>
    <x v="0"/>
    <x v="0"/>
    <x v="1"/>
    <n v="35467.54"/>
    <n v="3"/>
    <n v="7929.56"/>
    <x v="0"/>
    <x v="1"/>
  </r>
  <r>
    <s v="2025-08-31"/>
    <s v="31-08-2025"/>
    <x v="2"/>
    <s v="Karan"/>
    <x v="1"/>
    <x v="0"/>
    <x v="1"/>
    <n v="30999.08"/>
    <n v="15"/>
    <n v="7635.6"/>
    <x v="1"/>
    <x v="1"/>
  </r>
  <r>
    <s v="2025-04-21"/>
    <s v="21-04-2025"/>
    <x v="3"/>
    <s v="Suman"/>
    <x v="2"/>
    <x v="1"/>
    <x v="2"/>
    <n v="23654.400000000001"/>
    <n v="1"/>
    <n v="2262.15"/>
    <x v="2"/>
    <x v="1"/>
  </r>
  <r>
    <s v="2026-02-24"/>
    <s v="24-02-2026"/>
    <x v="1"/>
    <s v="Pooja"/>
    <x v="3"/>
    <x v="2"/>
    <x v="3"/>
    <n v="32441.27"/>
    <n v="12"/>
    <n v="5506"/>
    <x v="0"/>
    <x v="0"/>
  </r>
  <r>
    <s v="2025-04-17"/>
    <s v="17-04-2025"/>
    <x v="4"/>
    <s v="Karan"/>
    <x v="4"/>
    <x v="2"/>
    <x v="4"/>
    <n v="3411.17"/>
    <n v="4"/>
    <n v="645.86"/>
    <x v="2"/>
    <x v="1"/>
  </r>
  <r>
    <s v="2025-01-23"/>
    <s v="23-01-2025"/>
    <x v="2"/>
    <s v="Mohit"/>
    <x v="0"/>
    <x v="1"/>
    <x v="5"/>
    <n v="22216.34"/>
    <n v="11"/>
    <n v="3832.39"/>
    <x v="3"/>
    <x v="1"/>
  </r>
  <r>
    <s v="2026-01-23"/>
    <s v="23-01-2026"/>
    <x v="1"/>
    <s v="Suman"/>
    <x v="5"/>
    <x v="1"/>
    <x v="6"/>
    <n v="9831.7199999999993"/>
    <n v="7"/>
    <n v="802.96"/>
    <x v="3"/>
    <x v="0"/>
  </r>
  <r>
    <s v="2025-03-22"/>
    <s v="22-03-2025"/>
    <x v="5"/>
    <s v="Arun"/>
    <x v="3"/>
    <x v="1"/>
    <x v="2"/>
    <n v="37846.839999999997"/>
    <n v="13"/>
    <n v="4261.62"/>
    <x v="4"/>
    <x v="1"/>
  </r>
  <r>
    <s v="2025-08-22"/>
    <s v="22-08-2025"/>
    <x v="6"/>
    <s v="Arun"/>
    <x v="0"/>
    <x v="0"/>
    <x v="7"/>
    <n v="3730.42"/>
    <n v="1"/>
    <n v="302.92"/>
    <x v="1"/>
    <x v="1"/>
  </r>
  <r>
    <s v="2025-04-03"/>
    <s v="03-04-2025"/>
    <x v="6"/>
    <s v="Mohit"/>
    <x v="4"/>
    <x v="1"/>
    <x v="6"/>
    <n v="26933.69"/>
    <n v="1"/>
    <n v="5652.44"/>
    <x v="2"/>
    <x v="1"/>
  </r>
  <r>
    <s v="2026-02-09"/>
    <s v="09-02-2026"/>
    <x v="5"/>
    <s v="Suman"/>
    <x v="2"/>
    <x v="1"/>
    <x v="5"/>
    <n v="18738.77"/>
    <n v="5"/>
    <n v="4360.18"/>
    <x v="0"/>
    <x v="0"/>
  </r>
  <r>
    <s v="2026-04-18"/>
    <s v="18-04-2026"/>
    <x v="0"/>
    <s v="Arun"/>
    <x v="2"/>
    <x v="2"/>
    <x v="3"/>
    <n v="25830.75"/>
    <n v="7"/>
    <n v="1742.68"/>
    <x v="2"/>
    <x v="0"/>
  </r>
  <r>
    <s v="2025-04-12"/>
    <s v="12-04-2025"/>
    <x v="0"/>
    <s v="Rakesh"/>
    <x v="4"/>
    <x v="0"/>
    <x v="7"/>
    <n v="29582.31"/>
    <n v="6"/>
    <n v="4628.17"/>
    <x v="2"/>
    <x v="1"/>
  </r>
  <r>
    <s v="2025-01-13"/>
    <s v="13-01-2025"/>
    <x v="7"/>
    <s v="Mohit"/>
    <x v="3"/>
    <x v="0"/>
    <x v="1"/>
    <n v="29743.64"/>
    <n v="15"/>
    <n v="4400.3500000000004"/>
    <x v="3"/>
    <x v="1"/>
  </r>
  <r>
    <s v="2025-06-10"/>
    <s v="10-06-2025"/>
    <x v="5"/>
    <s v="Mohit"/>
    <x v="1"/>
    <x v="2"/>
    <x v="3"/>
    <n v="48784.1"/>
    <n v="6"/>
    <n v="5868.06"/>
    <x v="5"/>
    <x v="1"/>
  </r>
  <r>
    <s v="2026-01-03"/>
    <s v="03-01-2026"/>
    <x v="3"/>
    <s v="Karan"/>
    <x v="3"/>
    <x v="1"/>
    <x v="5"/>
    <n v="19201.55"/>
    <n v="4"/>
    <n v="3947.23"/>
    <x v="3"/>
    <x v="0"/>
  </r>
  <r>
    <s v="2025-10-15"/>
    <s v="15-10-2025"/>
    <x v="1"/>
    <s v="Mohit"/>
    <x v="5"/>
    <x v="2"/>
    <x v="3"/>
    <n v="20298.22"/>
    <n v="5"/>
    <n v="3824.32"/>
    <x v="6"/>
    <x v="1"/>
  </r>
  <r>
    <s v="2026-04-09"/>
    <s v="09-04-2026"/>
    <x v="7"/>
    <s v="Pooja"/>
    <x v="0"/>
    <x v="1"/>
    <x v="5"/>
    <n v="40560.43"/>
    <n v="6"/>
    <n v="9508.3799999999992"/>
    <x v="2"/>
    <x v="0"/>
  </r>
  <r>
    <s v="2025-11-25"/>
    <s v="25-11-2025"/>
    <x v="3"/>
    <s v="Arun"/>
    <x v="0"/>
    <x v="1"/>
    <x v="5"/>
    <n v="6715.29"/>
    <n v="7"/>
    <n v="527.85"/>
    <x v="7"/>
    <x v="1"/>
  </r>
  <r>
    <s v="2025-04-05"/>
    <s v="05-04-2025"/>
    <x v="0"/>
    <s v="Mohit"/>
    <x v="4"/>
    <x v="1"/>
    <x v="5"/>
    <n v="2162.75"/>
    <n v="8"/>
    <n v="307.77999999999997"/>
    <x v="2"/>
    <x v="1"/>
  </r>
  <r>
    <s v="2025-07-21"/>
    <s v="21-07-2025"/>
    <x v="0"/>
    <s v="Suman"/>
    <x v="0"/>
    <x v="2"/>
    <x v="4"/>
    <n v="26196.17"/>
    <n v="6"/>
    <n v="6457.07"/>
    <x v="8"/>
    <x v="1"/>
  </r>
  <r>
    <s v="2025-06-05"/>
    <s v="05-06-2025"/>
    <x v="0"/>
    <s v="Mohit"/>
    <x v="0"/>
    <x v="2"/>
    <x v="8"/>
    <n v="9909.16"/>
    <n v="13"/>
    <n v="1214.54"/>
    <x v="5"/>
    <x v="1"/>
  </r>
  <r>
    <s v="2025-11-09"/>
    <s v="09-11-2025"/>
    <x v="1"/>
    <s v="Mohit"/>
    <x v="2"/>
    <x v="0"/>
    <x v="1"/>
    <n v="33557.53"/>
    <n v="15"/>
    <n v="6115.87"/>
    <x v="7"/>
    <x v="1"/>
  </r>
  <r>
    <s v="2025-02-19"/>
    <s v="19-02-2025"/>
    <x v="6"/>
    <s v="Rakesh"/>
    <x v="3"/>
    <x v="2"/>
    <x v="3"/>
    <n v="9857.39"/>
    <n v="7"/>
    <n v="717.55"/>
    <x v="0"/>
    <x v="1"/>
  </r>
  <r>
    <s v="2026-03-07"/>
    <s v="07-03-2026"/>
    <x v="3"/>
    <s v="Rakesh"/>
    <x v="2"/>
    <x v="1"/>
    <x v="6"/>
    <n v="44958.96"/>
    <n v="8"/>
    <n v="5271.31"/>
    <x v="4"/>
    <x v="0"/>
  </r>
  <r>
    <s v="2026-04-15"/>
    <s v="15-04-2026"/>
    <x v="5"/>
    <s v="Pooja"/>
    <x v="2"/>
    <x v="1"/>
    <x v="2"/>
    <n v="33943.39"/>
    <n v="6"/>
    <n v="8277.59"/>
    <x v="2"/>
    <x v="0"/>
  </r>
  <r>
    <s v="2025-02-05"/>
    <s v="05-02-2025"/>
    <x v="7"/>
    <s v="Arun"/>
    <x v="3"/>
    <x v="0"/>
    <x v="7"/>
    <n v="2822.77"/>
    <n v="9"/>
    <n v="439.11"/>
    <x v="0"/>
    <x v="1"/>
  </r>
  <r>
    <s v="2026-02-18"/>
    <s v="18-02-2026"/>
    <x v="6"/>
    <s v="Pooja"/>
    <x v="1"/>
    <x v="0"/>
    <x v="1"/>
    <n v="39408.11"/>
    <n v="4"/>
    <n v="8629.7000000000007"/>
    <x v="0"/>
    <x v="0"/>
  </r>
  <r>
    <s v="2025-02-19"/>
    <s v="19-02-2025"/>
    <x v="3"/>
    <s v="Pooja"/>
    <x v="5"/>
    <x v="2"/>
    <x v="8"/>
    <n v="11008.97"/>
    <n v="2"/>
    <n v="1851.07"/>
    <x v="0"/>
    <x v="1"/>
  </r>
  <r>
    <s v="2025-12-19"/>
    <s v="19-12-2025"/>
    <x v="4"/>
    <s v="Karan"/>
    <x v="1"/>
    <x v="2"/>
    <x v="4"/>
    <n v="10638.59"/>
    <n v="2"/>
    <n v="2457.1799999999998"/>
    <x v="9"/>
    <x v="1"/>
  </r>
  <r>
    <s v="2025-10-27"/>
    <s v="27-10-2025"/>
    <x v="4"/>
    <s v="Karan"/>
    <x v="0"/>
    <x v="1"/>
    <x v="6"/>
    <n v="35321.53"/>
    <n v="10"/>
    <n v="5012.54"/>
    <x v="6"/>
    <x v="1"/>
  </r>
  <r>
    <s v="2026-03-30"/>
    <s v="30-03-2026"/>
    <x v="4"/>
    <s v="Karan"/>
    <x v="4"/>
    <x v="2"/>
    <x v="4"/>
    <n v="6671.24"/>
    <n v="5"/>
    <n v="946.6"/>
    <x v="4"/>
    <x v="0"/>
  </r>
  <r>
    <s v="2025-05-11"/>
    <s v="11-05-2025"/>
    <x v="7"/>
    <s v="Pooja"/>
    <x v="2"/>
    <x v="1"/>
    <x v="2"/>
    <n v="32823.160000000003"/>
    <n v="12"/>
    <n v="3559.4"/>
    <x v="10"/>
    <x v="1"/>
  </r>
  <r>
    <s v="2026-04-16"/>
    <s v="16-04-2026"/>
    <x v="6"/>
    <s v="Suman"/>
    <x v="3"/>
    <x v="0"/>
    <x v="7"/>
    <n v="46739.55"/>
    <n v="10"/>
    <n v="9264.66"/>
    <x v="2"/>
    <x v="0"/>
  </r>
  <r>
    <s v="2026-05-12"/>
    <s v="12-05-2026"/>
    <x v="7"/>
    <s v="Pooja"/>
    <x v="2"/>
    <x v="2"/>
    <x v="4"/>
    <n v="35862.28"/>
    <n v="13"/>
    <n v="8223.67"/>
    <x v="10"/>
    <x v="0"/>
  </r>
  <r>
    <s v="2025-11-18"/>
    <s v="18-11-2025"/>
    <x v="5"/>
    <s v="Mohit"/>
    <x v="4"/>
    <x v="1"/>
    <x v="5"/>
    <n v="36905.4"/>
    <n v="2"/>
    <n v="8438.39"/>
    <x v="7"/>
    <x v="1"/>
  </r>
  <r>
    <s v="2026-03-26"/>
    <s v="26-03-2026"/>
    <x v="0"/>
    <s v="Karan"/>
    <x v="1"/>
    <x v="2"/>
    <x v="3"/>
    <n v="16953.169999999998"/>
    <n v="15"/>
    <n v="1329.9"/>
    <x v="4"/>
    <x v="0"/>
  </r>
  <r>
    <s v="2025-12-01"/>
    <s v="01-12-2025"/>
    <x v="6"/>
    <s v="Arun"/>
    <x v="0"/>
    <x v="1"/>
    <x v="5"/>
    <n v="34853.919999999998"/>
    <n v="11"/>
    <n v="2789.68"/>
    <x v="9"/>
    <x v="1"/>
  </r>
  <r>
    <s v="2025-11-11"/>
    <s v="11-11-2025"/>
    <x v="6"/>
    <s v="Pooja"/>
    <x v="5"/>
    <x v="2"/>
    <x v="4"/>
    <n v="14772.61"/>
    <n v="8"/>
    <n v="3606.47"/>
    <x v="7"/>
    <x v="1"/>
  </r>
  <r>
    <s v="2025-12-24"/>
    <s v="24-12-2025"/>
    <x v="5"/>
    <s v="Karan"/>
    <x v="3"/>
    <x v="2"/>
    <x v="3"/>
    <n v="1202.49"/>
    <n v="4"/>
    <n v="280.8"/>
    <x v="9"/>
    <x v="1"/>
  </r>
  <r>
    <s v="2025-10-31"/>
    <s v="31-10-2025"/>
    <x v="6"/>
    <s v="Mohit"/>
    <x v="4"/>
    <x v="1"/>
    <x v="2"/>
    <n v="26282.71"/>
    <n v="3"/>
    <n v="4740"/>
    <x v="6"/>
    <x v="1"/>
  </r>
  <r>
    <s v="2025-05-23"/>
    <s v="23-05-2025"/>
    <x v="6"/>
    <s v="Arun"/>
    <x v="5"/>
    <x v="1"/>
    <x v="2"/>
    <n v="46729.75"/>
    <n v="5"/>
    <n v="6265.64"/>
    <x v="10"/>
    <x v="1"/>
  </r>
  <r>
    <s v="2025-02-16"/>
    <s v="16-02-2025"/>
    <x v="6"/>
    <s v="Karan"/>
    <x v="5"/>
    <x v="2"/>
    <x v="3"/>
    <n v="39880.35"/>
    <n v="7"/>
    <n v="7962.85"/>
    <x v="0"/>
    <x v="1"/>
  </r>
  <r>
    <s v="2026-03-23"/>
    <s v="23-03-2026"/>
    <x v="4"/>
    <s v="Mohit"/>
    <x v="2"/>
    <x v="0"/>
    <x v="7"/>
    <n v="17247.169999999998"/>
    <n v="2"/>
    <n v="4249.17"/>
    <x v="4"/>
    <x v="0"/>
  </r>
  <r>
    <s v="2025-09-28"/>
    <s v="28-09-2025"/>
    <x v="5"/>
    <s v="Mohit"/>
    <x v="3"/>
    <x v="1"/>
    <x v="6"/>
    <n v="5629.08"/>
    <n v="14"/>
    <n v="1097.43"/>
    <x v="11"/>
    <x v="1"/>
  </r>
  <r>
    <s v="2025-06-16"/>
    <s v="16-06-2025"/>
    <x v="6"/>
    <s v="Karan"/>
    <x v="3"/>
    <x v="0"/>
    <x v="1"/>
    <n v="32097.62"/>
    <n v="1"/>
    <n v="5141.9799999999996"/>
    <x v="5"/>
    <x v="1"/>
  </r>
  <r>
    <s v="2025-08-05"/>
    <s v="05-08-2025"/>
    <x v="3"/>
    <s v="Arun"/>
    <x v="5"/>
    <x v="2"/>
    <x v="3"/>
    <n v="49092.79"/>
    <n v="8"/>
    <n v="5656.58"/>
    <x v="1"/>
    <x v="1"/>
  </r>
  <r>
    <s v="2025-09-14"/>
    <s v="14-09-2025"/>
    <x v="6"/>
    <s v="Karan"/>
    <x v="0"/>
    <x v="2"/>
    <x v="8"/>
    <n v="37999.129999999997"/>
    <n v="6"/>
    <n v="3415.41"/>
    <x v="11"/>
    <x v="1"/>
  </r>
  <r>
    <s v="2025-09-29"/>
    <s v="29-09-2025"/>
    <x v="4"/>
    <s v="Rakesh"/>
    <x v="5"/>
    <x v="1"/>
    <x v="5"/>
    <n v="46765.37"/>
    <n v="12"/>
    <n v="3094.83"/>
    <x v="11"/>
    <x v="1"/>
  </r>
  <r>
    <s v="2025-09-06"/>
    <s v="06-09-2025"/>
    <x v="0"/>
    <s v="Arun"/>
    <x v="4"/>
    <x v="2"/>
    <x v="4"/>
    <n v="4401.03"/>
    <n v="11"/>
    <n v="1017.22"/>
    <x v="11"/>
    <x v="1"/>
  </r>
  <r>
    <s v="2025-05-04"/>
    <s v="04-05-2025"/>
    <x v="4"/>
    <s v="Mohit"/>
    <x v="2"/>
    <x v="2"/>
    <x v="4"/>
    <n v="2187.88"/>
    <n v="6"/>
    <n v="215.7"/>
    <x v="10"/>
    <x v="1"/>
  </r>
  <r>
    <s v="2025-04-08"/>
    <s v="08-04-2025"/>
    <x v="3"/>
    <s v="Arun"/>
    <x v="2"/>
    <x v="0"/>
    <x v="0"/>
    <n v="13032.37"/>
    <n v="12"/>
    <n v="1178.73"/>
    <x v="2"/>
    <x v="1"/>
  </r>
  <r>
    <s v="2025-03-31"/>
    <s v="31-03-2025"/>
    <x v="1"/>
    <s v="Rakesh"/>
    <x v="4"/>
    <x v="0"/>
    <x v="7"/>
    <n v="14685.02"/>
    <n v="1"/>
    <n v="1110.7"/>
    <x v="4"/>
    <x v="1"/>
  </r>
  <r>
    <s v="2025-12-28"/>
    <s v="28-12-2025"/>
    <x v="5"/>
    <s v="Pooja"/>
    <x v="3"/>
    <x v="0"/>
    <x v="0"/>
    <n v="14312.87"/>
    <n v="7"/>
    <n v="1374.9"/>
    <x v="9"/>
    <x v="1"/>
  </r>
  <r>
    <s v="2025-11-01"/>
    <s v="01-11-2025"/>
    <x v="7"/>
    <s v="Arun"/>
    <x v="3"/>
    <x v="1"/>
    <x v="5"/>
    <n v="28463.77"/>
    <n v="4"/>
    <n v="5556.52"/>
    <x v="7"/>
    <x v="1"/>
  </r>
  <r>
    <s v="2025-09-17"/>
    <s v="17-09-2025"/>
    <x v="7"/>
    <s v="Suman"/>
    <x v="1"/>
    <x v="0"/>
    <x v="7"/>
    <n v="5016.47"/>
    <n v="4"/>
    <n v="266.99"/>
    <x v="11"/>
    <x v="1"/>
  </r>
  <r>
    <s v="2026-05-08"/>
    <s v="08-05-2026"/>
    <x v="4"/>
    <s v="Karan"/>
    <x v="2"/>
    <x v="1"/>
    <x v="5"/>
    <n v="22015"/>
    <n v="11"/>
    <n v="3475.91"/>
    <x v="10"/>
    <x v="0"/>
  </r>
  <r>
    <s v="2025-03-01"/>
    <s v="01-03-2025"/>
    <x v="0"/>
    <s v="Pooja"/>
    <x v="2"/>
    <x v="2"/>
    <x v="8"/>
    <n v="3907.33"/>
    <n v="6"/>
    <n v="341.59"/>
    <x v="4"/>
    <x v="1"/>
  </r>
  <r>
    <s v="2025-04-04"/>
    <s v="04-04-2025"/>
    <x v="3"/>
    <s v="Karan"/>
    <x v="3"/>
    <x v="0"/>
    <x v="0"/>
    <n v="2409.9499999999998"/>
    <n v="11"/>
    <n v="426.26"/>
    <x v="2"/>
    <x v="1"/>
  </r>
  <r>
    <s v="2025-03-30"/>
    <s v="30-03-2025"/>
    <x v="6"/>
    <s v="Arun"/>
    <x v="3"/>
    <x v="1"/>
    <x v="6"/>
    <n v="32820.79"/>
    <n v="3"/>
    <n v="8004.95"/>
    <x v="4"/>
    <x v="1"/>
  </r>
  <r>
    <s v="2026-04-16"/>
    <s v="16-04-2026"/>
    <x v="6"/>
    <s v="Pooja"/>
    <x v="4"/>
    <x v="0"/>
    <x v="0"/>
    <n v="30189.35"/>
    <n v="15"/>
    <n v="5038.3900000000003"/>
    <x v="2"/>
    <x v="0"/>
  </r>
  <r>
    <s v="2026-03-03"/>
    <s v="03-03-2026"/>
    <x v="4"/>
    <s v="Karan"/>
    <x v="5"/>
    <x v="2"/>
    <x v="3"/>
    <n v="2225.16"/>
    <n v="10"/>
    <n v="347.66"/>
    <x v="4"/>
    <x v="0"/>
  </r>
  <r>
    <s v="2026-01-04"/>
    <s v="04-01-2026"/>
    <x v="4"/>
    <s v="Pooja"/>
    <x v="4"/>
    <x v="0"/>
    <x v="7"/>
    <n v="37959.75"/>
    <n v="5"/>
    <n v="3801.91"/>
    <x v="3"/>
    <x v="0"/>
  </r>
  <r>
    <s v="2026-03-12"/>
    <s v="12-03-2026"/>
    <x v="6"/>
    <s v="Pooja"/>
    <x v="3"/>
    <x v="2"/>
    <x v="3"/>
    <n v="13386.79"/>
    <n v="4"/>
    <n v="2928.58"/>
    <x v="4"/>
    <x v="0"/>
  </r>
  <r>
    <s v="2025-08-21"/>
    <s v="21-08-2025"/>
    <x v="0"/>
    <s v="Mohit"/>
    <x v="2"/>
    <x v="2"/>
    <x v="4"/>
    <n v="33415.68"/>
    <n v="7"/>
    <n v="5505.28"/>
    <x v="1"/>
    <x v="1"/>
  </r>
  <r>
    <s v="2025-09-20"/>
    <s v="20-09-2025"/>
    <x v="2"/>
    <s v="Arun"/>
    <x v="4"/>
    <x v="0"/>
    <x v="0"/>
    <n v="35448.629999999997"/>
    <n v="5"/>
    <n v="2592.83"/>
    <x v="11"/>
    <x v="1"/>
  </r>
  <r>
    <s v="2026-03-23"/>
    <s v="23-03-2026"/>
    <x v="3"/>
    <s v="Karan"/>
    <x v="5"/>
    <x v="1"/>
    <x v="5"/>
    <n v="11797.33"/>
    <n v="2"/>
    <n v="918.98"/>
    <x v="4"/>
    <x v="0"/>
  </r>
  <r>
    <s v="2025-04-28"/>
    <s v="28-04-2025"/>
    <x v="4"/>
    <s v="Arun"/>
    <x v="0"/>
    <x v="1"/>
    <x v="6"/>
    <n v="23818.3"/>
    <n v="13"/>
    <n v="2616.98"/>
    <x v="2"/>
    <x v="1"/>
  </r>
  <r>
    <s v="2025-02-01"/>
    <s v="01-02-2025"/>
    <x v="7"/>
    <s v="Pooja"/>
    <x v="2"/>
    <x v="1"/>
    <x v="6"/>
    <n v="28817.67"/>
    <n v="8"/>
    <n v="6322.98"/>
    <x v="0"/>
    <x v="1"/>
  </r>
  <r>
    <s v="2025-03-27"/>
    <s v="27-03-2025"/>
    <x v="0"/>
    <s v="Pooja"/>
    <x v="0"/>
    <x v="0"/>
    <x v="7"/>
    <n v="3162.03"/>
    <n v="15"/>
    <n v="639.21"/>
    <x v="4"/>
    <x v="1"/>
  </r>
  <r>
    <s v="2025-10-12"/>
    <s v="12-10-2025"/>
    <x v="3"/>
    <s v="Mohit"/>
    <x v="0"/>
    <x v="1"/>
    <x v="6"/>
    <n v="13628.92"/>
    <n v="6"/>
    <n v="730.21"/>
    <x v="6"/>
    <x v="1"/>
  </r>
  <r>
    <s v="2026-05-16"/>
    <s v="16-05-2026"/>
    <x v="0"/>
    <s v="Arun"/>
    <x v="3"/>
    <x v="2"/>
    <x v="4"/>
    <n v="36907.129999999997"/>
    <n v="5"/>
    <n v="9225.9699999999993"/>
    <x v="10"/>
    <x v="0"/>
  </r>
  <r>
    <s v="2025-10-03"/>
    <s v="03-10-2025"/>
    <x v="1"/>
    <s v="Karan"/>
    <x v="0"/>
    <x v="2"/>
    <x v="3"/>
    <n v="40508.410000000003"/>
    <n v="7"/>
    <n v="6615.63"/>
    <x v="6"/>
    <x v="1"/>
  </r>
  <r>
    <s v="2026-04-29"/>
    <s v="29-04-2026"/>
    <x v="3"/>
    <s v="Mohit"/>
    <x v="1"/>
    <x v="1"/>
    <x v="6"/>
    <n v="40659.120000000003"/>
    <n v="14"/>
    <n v="7416.33"/>
    <x v="2"/>
    <x v="0"/>
  </r>
  <r>
    <s v="2025-11-25"/>
    <s v="25-11-2025"/>
    <x v="4"/>
    <s v="Suman"/>
    <x v="3"/>
    <x v="2"/>
    <x v="8"/>
    <n v="35491.53"/>
    <n v="13"/>
    <n v="5517.14"/>
    <x v="7"/>
    <x v="1"/>
  </r>
  <r>
    <s v="2025-05-01"/>
    <s v="01-05-2025"/>
    <x v="2"/>
    <s v="Suman"/>
    <x v="5"/>
    <x v="0"/>
    <x v="1"/>
    <n v="43838.39"/>
    <n v="2"/>
    <n v="7941"/>
    <x v="10"/>
    <x v="1"/>
  </r>
  <r>
    <s v="2025-01-12"/>
    <s v="12-01-2025"/>
    <x v="7"/>
    <s v="Rakesh"/>
    <x v="2"/>
    <x v="0"/>
    <x v="0"/>
    <n v="47789.16"/>
    <n v="9"/>
    <n v="6805.97"/>
    <x v="3"/>
    <x v="1"/>
  </r>
  <r>
    <s v="2026-01-08"/>
    <s v="08-01-2026"/>
    <x v="6"/>
    <s v="Suman"/>
    <x v="0"/>
    <x v="1"/>
    <x v="2"/>
    <n v="27588.51"/>
    <n v="8"/>
    <n v="6027.07"/>
    <x v="3"/>
    <x v="0"/>
  </r>
  <r>
    <s v="2026-01-13"/>
    <s v="13-01-2026"/>
    <x v="0"/>
    <s v="Karan"/>
    <x v="5"/>
    <x v="1"/>
    <x v="2"/>
    <n v="49081.23"/>
    <n v="7"/>
    <n v="5440.48"/>
    <x v="3"/>
    <x v="0"/>
  </r>
  <r>
    <s v="2025-09-10"/>
    <s v="10-09-2025"/>
    <x v="0"/>
    <s v="Karan"/>
    <x v="3"/>
    <x v="0"/>
    <x v="0"/>
    <n v="15461.7"/>
    <n v="7"/>
    <n v="1095.1199999999999"/>
    <x v="11"/>
    <x v="1"/>
  </r>
  <r>
    <s v="2026-05-06"/>
    <s v="06-05-2026"/>
    <x v="6"/>
    <s v="Pooja"/>
    <x v="4"/>
    <x v="0"/>
    <x v="1"/>
    <n v="20615.41"/>
    <n v="15"/>
    <n v="5117.1400000000003"/>
    <x v="10"/>
    <x v="0"/>
  </r>
  <r>
    <s v="2026-01-24"/>
    <s v="24-01-2026"/>
    <x v="5"/>
    <s v="Arun"/>
    <x v="4"/>
    <x v="2"/>
    <x v="3"/>
    <n v="31625.85"/>
    <n v="13"/>
    <n v="7408.11"/>
    <x v="3"/>
    <x v="0"/>
  </r>
  <r>
    <s v="2025-01-05"/>
    <s v="05-01-2025"/>
    <x v="5"/>
    <s v="Rakesh"/>
    <x v="3"/>
    <x v="1"/>
    <x v="5"/>
    <n v="41389.58"/>
    <n v="4"/>
    <n v="3332.3"/>
    <x v="3"/>
    <x v="1"/>
  </r>
  <r>
    <s v="2025-10-25"/>
    <s v="25-10-2025"/>
    <x v="0"/>
    <s v="Mohit"/>
    <x v="3"/>
    <x v="0"/>
    <x v="7"/>
    <n v="2609.29"/>
    <n v="12"/>
    <n v="317.29000000000002"/>
    <x v="6"/>
    <x v="1"/>
  </r>
  <r>
    <s v="2025-10-02"/>
    <s v="02-10-2025"/>
    <x v="2"/>
    <s v="Arun"/>
    <x v="4"/>
    <x v="1"/>
    <x v="5"/>
    <n v="20861.55"/>
    <n v="11"/>
    <n v="2774.37"/>
    <x v="6"/>
    <x v="1"/>
  </r>
  <r>
    <s v="2026-04-22"/>
    <s v="22-04-2026"/>
    <x v="6"/>
    <s v="Karan"/>
    <x v="0"/>
    <x v="0"/>
    <x v="1"/>
    <n v="25046.11"/>
    <n v="8"/>
    <n v="2887.26"/>
    <x v="2"/>
    <x v="0"/>
  </r>
  <r>
    <s v="2026-05-12"/>
    <s v="12-05-2026"/>
    <x v="2"/>
    <s v="Karan"/>
    <x v="5"/>
    <x v="0"/>
    <x v="0"/>
    <n v="3820.92"/>
    <n v="2"/>
    <n v="611.84"/>
    <x v="10"/>
    <x v="0"/>
  </r>
  <r>
    <s v="2026-04-10"/>
    <s v="10-04-2026"/>
    <x v="0"/>
    <s v="Rakesh"/>
    <x v="0"/>
    <x v="2"/>
    <x v="3"/>
    <n v="6854.5"/>
    <n v="11"/>
    <n v="671.64"/>
    <x v="2"/>
    <x v="0"/>
  </r>
  <r>
    <s v="2026-01-06"/>
    <s v="06-01-2026"/>
    <x v="3"/>
    <s v="Arun"/>
    <x v="1"/>
    <x v="2"/>
    <x v="3"/>
    <n v="24767.61"/>
    <n v="13"/>
    <n v="3550.8"/>
    <x v="3"/>
    <x v="0"/>
  </r>
  <r>
    <s v="2026-01-09"/>
    <s v="09-01-2026"/>
    <x v="3"/>
    <s v="Pooja"/>
    <x v="5"/>
    <x v="0"/>
    <x v="7"/>
    <n v="27407.98"/>
    <n v="14"/>
    <n v="4534.37"/>
    <x v="3"/>
    <x v="0"/>
  </r>
  <r>
    <s v="2026-04-26"/>
    <s v="26-04-2026"/>
    <x v="7"/>
    <s v="Mohit"/>
    <x v="4"/>
    <x v="2"/>
    <x v="4"/>
    <n v="11204.14"/>
    <n v="3"/>
    <n v="1550.03"/>
    <x v="2"/>
    <x v="0"/>
  </r>
  <r>
    <s v="2025-04-18"/>
    <s v="18-04-2025"/>
    <x v="1"/>
    <s v="Rakesh"/>
    <x v="3"/>
    <x v="0"/>
    <x v="7"/>
    <n v="11327.68"/>
    <n v="13"/>
    <n v="2374.09"/>
    <x v="2"/>
    <x v="1"/>
  </r>
  <r>
    <s v="2025-01-24"/>
    <s v="24-01-2025"/>
    <x v="6"/>
    <s v="Arun"/>
    <x v="5"/>
    <x v="1"/>
    <x v="2"/>
    <n v="44400.62"/>
    <n v="3"/>
    <n v="10417.81"/>
    <x v="3"/>
    <x v="1"/>
  </r>
  <r>
    <s v="2025-06-07"/>
    <s v="07-06-2025"/>
    <x v="0"/>
    <s v="Arun"/>
    <x v="1"/>
    <x v="2"/>
    <x v="8"/>
    <n v="1812.64"/>
    <n v="4"/>
    <n v="315.49"/>
    <x v="5"/>
    <x v="1"/>
  </r>
  <r>
    <s v="2025-06-26"/>
    <s v="26-06-2025"/>
    <x v="3"/>
    <s v="Suman"/>
    <x v="1"/>
    <x v="0"/>
    <x v="0"/>
    <n v="4655.57"/>
    <n v="13"/>
    <n v="664.16"/>
    <x v="5"/>
    <x v="1"/>
  </r>
  <r>
    <s v="2026-01-27"/>
    <s v="27-01-2026"/>
    <x v="3"/>
    <s v="Pooja"/>
    <x v="5"/>
    <x v="2"/>
    <x v="4"/>
    <n v="18675.14"/>
    <n v="12"/>
    <n v="3359.27"/>
    <x v="3"/>
    <x v="0"/>
  </r>
  <r>
    <s v="2026-01-26"/>
    <s v="26-01-2026"/>
    <x v="4"/>
    <s v="Rakesh"/>
    <x v="0"/>
    <x v="0"/>
    <x v="0"/>
    <n v="28005.15"/>
    <n v="8"/>
    <n v="6353.17"/>
    <x v="3"/>
    <x v="0"/>
  </r>
  <r>
    <s v="2025-08-07"/>
    <s v="07-08-2025"/>
    <x v="0"/>
    <s v="Karan"/>
    <x v="4"/>
    <x v="1"/>
    <x v="6"/>
    <n v="7641.97"/>
    <n v="9"/>
    <n v="1061.3599999999999"/>
    <x v="1"/>
    <x v="1"/>
  </r>
  <r>
    <s v="2025-11-30"/>
    <s v="30-11-2025"/>
    <x v="5"/>
    <s v="Karan"/>
    <x v="0"/>
    <x v="2"/>
    <x v="8"/>
    <n v="2074.31"/>
    <n v="2"/>
    <n v="385.64"/>
    <x v="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x v="0"/>
  </r>
  <r>
    <x v="1"/>
    <x v="1"/>
  </r>
  <r>
    <x v="2"/>
    <x v="1"/>
  </r>
  <r>
    <x v="3"/>
    <x v="1"/>
  </r>
  <r>
    <x v="1"/>
    <x v="0"/>
  </r>
  <r>
    <x v="4"/>
    <x v="1"/>
  </r>
  <r>
    <x v="5"/>
    <x v="1"/>
  </r>
  <r>
    <x v="6"/>
    <x v="1"/>
  </r>
  <r>
    <x v="5"/>
    <x v="0"/>
  </r>
  <r>
    <x v="0"/>
    <x v="0"/>
  </r>
  <r>
    <x v="0"/>
    <x v="1"/>
  </r>
  <r>
    <x v="7"/>
    <x v="1"/>
  </r>
  <r>
    <x v="3"/>
    <x v="0"/>
  </r>
  <r>
    <x v="7"/>
    <x v="0"/>
  </r>
  <r>
    <x v="6"/>
    <x v="0"/>
  </r>
  <r>
    <x v="4"/>
    <x v="0"/>
  </r>
  <r>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8B33AA-C9C8-45F8-9AE4-33588665D00B}" name="SaleBy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8" firstHeaderRow="1" firstDataRow="1" firstDataCol="1"/>
  <pivotFields count="12">
    <pivotField showAll="0"/>
    <pivotField showAll="0"/>
    <pivotField showAll="0"/>
    <pivotField showAll="0"/>
    <pivotField axis="axisRow" showAll="0">
      <items count="7">
        <item x="4"/>
        <item x="2"/>
        <item x="3"/>
        <item x="5"/>
        <item x="0"/>
        <item x="1"/>
        <item t="default"/>
      </items>
    </pivotField>
    <pivotField showAll="0">
      <items count="4">
        <item x="2"/>
        <item x="1"/>
        <item x="0"/>
        <item t="default"/>
      </items>
    </pivotField>
    <pivotField showAll="0" sortType="descending">
      <items count="10">
        <item x="1"/>
        <item x="2"/>
        <item x="5"/>
        <item x="4"/>
        <item x="8"/>
        <item x="0"/>
        <item x="7"/>
        <item x="3"/>
        <item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3"/>
        <item x="0"/>
        <item x="4"/>
        <item x="2"/>
        <item x="10"/>
        <item x="5"/>
        <item x="8"/>
        <item x="1"/>
        <item x="11"/>
        <item x="6"/>
        <item x="7"/>
        <item x="9"/>
        <item t="default"/>
      </items>
    </pivotField>
    <pivotField showAll="0">
      <items count="3">
        <item x="1"/>
        <item x="0"/>
        <item t="default"/>
      </items>
    </pivotField>
  </pivotFields>
  <rowFields count="1">
    <field x="4"/>
  </rowFields>
  <rowItems count="7">
    <i>
      <x/>
    </i>
    <i>
      <x v="1"/>
    </i>
    <i>
      <x v="2"/>
    </i>
    <i>
      <x v="3"/>
    </i>
    <i>
      <x v="4"/>
    </i>
    <i>
      <x v="5"/>
    </i>
    <i t="grand">
      <x/>
    </i>
  </rowItems>
  <colItems count="1">
    <i/>
  </colItems>
  <dataFields count="1">
    <dataField name="Sum of Sales" fld="7" baseField="0" baseItem="0" numFmtId="165"/>
  </dataFields>
  <formats count="1">
    <format dxfId="1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120DE0-8C27-4D97-A4F4-530FF56E7438}" name="SaleBy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X3:Y16" firstHeaderRow="1" firstDataRow="1" firstDataCol="1"/>
  <pivotFields count="12">
    <pivotField showAll="0"/>
    <pivotField showAll="0"/>
    <pivotField showAll="0">
      <items count="9">
        <item x="0"/>
        <item x="7"/>
        <item x="4"/>
        <item x="6"/>
        <item x="2"/>
        <item x="5"/>
        <item x="1"/>
        <item x="3"/>
        <item t="default"/>
      </items>
    </pivotField>
    <pivotField showAll="0"/>
    <pivotField showAll="0"/>
    <pivotField showAll="0">
      <items count="4">
        <item x="2"/>
        <item x="1"/>
        <item x="0"/>
        <item t="default"/>
      </items>
    </pivotField>
    <pivotField showAll="0">
      <items count="10">
        <item x="1"/>
        <item x="2"/>
        <item x="5"/>
        <item x="4"/>
        <item x="8"/>
        <item x="0"/>
        <item x="7"/>
        <item x="3"/>
        <item x="6"/>
        <item t="default"/>
      </items>
    </pivotField>
    <pivotField dataField="1" showAll="0"/>
    <pivotField showAll="0"/>
    <pivotField showAll="0"/>
    <pivotField axis="axisRow" showAll="0">
      <items count="13">
        <item x="3"/>
        <item x="0"/>
        <item x="4"/>
        <item x="2"/>
        <item x="10"/>
        <item x="5"/>
        <item x="8"/>
        <item x="1"/>
        <item x="11"/>
        <item x="6"/>
        <item x="7"/>
        <item x="9"/>
        <item t="default"/>
      </items>
    </pivotField>
    <pivotField showAll="0">
      <items count="3">
        <item x="1"/>
        <item x="0"/>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Sales" fld="7" baseField="0" baseItem="0" numFmtId="166"/>
  </dataFields>
  <formats count="1">
    <format dxfId="142">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CB0957-D534-44B5-956A-E6886B5B2EEF}" name="SubCategor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J13" firstHeaderRow="1" firstDataRow="1" firstDataCol="1"/>
  <pivotFields count="12">
    <pivotField showAll="0"/>
    <pivotField showAll="0"/>
    <pivotField showAll="0"/>
    <pivotField showAll="0"/>
    <pivotField showAll="0"/>
    <pivotField showAll="0">
      <items count="4">
        <item x="2"/>
        <item x="1"/>
        <item x="0"/>
        <item t="default"/>
      </items>
    </pivotField>
    <pivotField axis="axisRow" showAll="0" sortType="descending">
      <items count="10">
        <item x="1"/>
        <item x="2"/>
        <item x="5"/>
        <item x="4"/>
        <item x="8"/>
        <item x="0"/>
        <item x="7"/>
        <item x="3"/>
        <item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3"/>
        <item x="0"/>
        <item x="4"/>
        <item x="2"/>
        <item x="10"/>
        <item x="5"/>
        <item x="8"/>
        <item x="1"/>
        <item x="11"/>
        <item x="6"/>
        <item x="7"/>
        <item x="9"/>
        <item t="default"/>
      </items>
    </pivotField>
    <pivotField showAll="0">
      <items count="3">
        <item x="1"/>
        <item x="0"/>
        <item t="default"/>
      </items>
    </pivotField>
  </pivotFields>
  <rowFields count="1">
    <field x="6"/>
  </rowFields>
  <rowItems count="10">
    <i>
      <x v="7"/>
    </i>
    <i>
      <x v="2"/>
    </i>
    <i>
      <x v="1"/>
    </i>
    <i>
      <x/>
    </i>
    <i>
      <x v="8"/>
    </i>
    <i>
      <x v="3"/>
    </i>
    <i>
      <x v="6"/>
    </i>
    <i>
      <x v="5"/>
    </i>
    <i>
      <x v="4"/>
    </i>
    <i t="grand">
      <x/>
    </i>
  </rowItems>
  <colItems count="1">
    <i/>
  </colItems>
  <dataFields count="1">
    <dataField name="Sum of Sales" fld="7" baseField="0" baseItem="0" numFmtId="165"/>
  </dataFields>
  <formats count="1">
    <format dxfId="143">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507AA2-D495-4426-9344-24FA4159D362}" name="SumOf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2">
    <pivotField showAll="0"/>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items count="13">
        <item x="3"/>
        <item x="0"/>
        <item x="4"/>
        <item x="2"/>
        <item x="10"/>
        <item x="5"/>
        <item x="8"/>
        <item x="1"/>
        <item x="11"/>
        <item x="6"/>
        <item x="7"/>
        <item x="9"/>
        <item t="default"/>
      </items>
    </pivotField>
    <pivotField showAll="0">
      <items count="3">
        <item x="1"/>
        <item x="0"/>
        <item t="default"/>
      </items>
    </pivotField>
  </pivotFields>
  <rowItems count="1">
    <i/>
  </rowItems>
  <colItems count="1">
    <i/>
  </colItems>
  <dataFields count="1">
    <dataField name="Sum of Profit" fld="9" baseField="0" baseItem="0" numFmtId="165"/>
  </dataFields>
  <formats count="1">
    <format dxfId="1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E00C4B-BC98-4D59-9071-903C5A9E1519}" name="CustomerCountByYea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3:S6" firstHeaderRow="1" firstDataRow="1" firstDataCol="1"/>
  <pivotFields count="2">
    <pivotField dataField="1" showAll="0">
      <items count="9">
        <item x="0"/>
        <item x="7"/>
        <item x="4"/>
        <item x="6"/>
        <item x="2"/>
        <item x="5"/>
        <item x="1"/>
        <item x="3"/>
        <item t="default"/>
      </items>
    </pivotField>
    <pivotField axis="axisRow" showAll="0">
      <items count="3">
        <item x="1"/>
        <item x="0"/>
        <item t="default"/>
      </items>
    </pivotField>
  </pivotFields>
  <rowFields count="1">
    <field x="1"/>
  </rowFields>
  <rowItems count="3">
    <i>
      <x/>
    </i>
    <i>
      <x v="1"/>
    </i>
    <i t="grand">
      <x/>
    </i>
  </rowItems>
  <colItems count="1">
    <i/>
  </colItems>
  <dataFields count="1">
    <dataField name="Count of Customer Name" fld="0"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AF8500-1C8D-4D24-82A1-80720BD38080}" name="TopCustomer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U3:V9" firstHeaderRow="1" firstDataRow="1" firstDataCol="1"/>
  <pivotFields count="12">
    <pivotField showAll="0"/>
    <pivotField showAll="0"/>
    <pivotField axis="axisRow" showAll="0" measureFilter="1" sortType="descending">
      <items count="9">
        <item x="0"/>
        <item x="7"/>
        <item x="4"/>
        <item x="6"/>
        <item x="2"/>
        <item x="5"/>
        <item x="1"/>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items count="10">
        <item x="1"/>
        <item x="2"/>
        <item x="5"/>
        <item x="4"/>
        <item x="8"/>
        <item x="0"/>
        <item x="7"/>
        <item x="3"/>
        <item x="6"/>
        <item t="default"/>
      </items>
    </pivotField>
    <pivotField showAll="0"/>
    <pivotField showAll="0"/>
    <pivotField dataField="1" showAll="0"/>
    <pivotField showAll="0">
      <items count="13">
        <item x="3"/>
        <item x="0"/>
        <item x="4"/>
        <item x="2"/>
        <item x="10"/>
        <item x="5"/>
        <item x="8"/>
        <item x="1"/>
        <item x="11"/>
        <item x="6"/>
        <item x="7"/>
        <item x="9"/>
        <item t="default"/>
      </items>
    </pivotField>
    <pivotField showAll="0">
      <items count="3">
        <item x="1"/>
        <item x="0"/>
        <item t="default"/>
      </items>
    </pivotField>
  </pivotFields>
  <rowFields count="1">
    <field x="2"/>
  </rowFields>
  <rowItems count="6">
    <i>
      <x v="3"/>
    </i>
    <i>
      <x v="1"/>
    </i>
    <i>
      <x v="5"/>
    </i>
    <i>
      <x v="7"/>
    </i>
    <i>
      <x/>
    </i>
    <i t="grand">
      <x/>
    </i>
  </rowItems>
  <colItems count="1">
    <i/>
  </colItems>
  <dataFields count="1">
    <dataField name="Sum of Profit" fld="9" baseField="0" baseItem="0" numFmtId="166"/>
  </dataFields>
  <formats count="1">
    <format dxfId="145">
      <pivotArea outline="0" collapsedLevelsAreSubtotals="1" fieldPosition="0"/>
    </format>
  </format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4AB6E2-14C7-460F-ABBD-6D7CA6C6F65E}" name="SumOf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showAll="0"/>
    <pivotField showAll="0"/>
    <pivotField showAll="0">
      <items count="4">
        <item x="2"/>
        <item x="1"/>
        <item x="0"/>
        <item t="default"/>
      </items>
    </pivotField>
    <pivotField showAll="0"/>
    <pivotField dataField="1" showAll="0"/>
    <pivotField showAll="0"/>
    <pivotField showAll="0"/>
    <pivotField showAll="0">
      <items count="13">
        <item x="3"/>
        <item x="0"/>
        <item x="4"/>
        <item x="2"/>
        <item x="10"/>
        <item x="5"/>
        <item x="8"/>
        <item x="1"/>
        <item x="11"/>
        <item x="6"/>
        <item x="7"/>
        <item x="9"/>
        <item t="default"/>
      </items>
    </pivotField>
    <pivotField showAll="0">
      <items count="3">
        <item x="1"/>
        <item x="0"/>
        <item t="default"/>
      </items>
    </pivotField>
  </pivotFields>
  <rowItems count="1">
    <i/>
  </rowItems>
  <colItems count="1">
    <i/>
  </colItems>
  <dataFields count="1">
    <dataField name="Sum of Sales" fld="7" baseField="0" baseItem="0" numFmtId="165"/>
  </dataFields>
  <formats count="1">
    <format dxfId="1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B5E6BE-CFAA-4938-B819-6BC846369384}" name="ProfitBy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G7" firstHeaderRow="1" firstDataRow="2" firstDataCol="1"/>
  <pivotFields count="12">
    <pivotField showAll="0"/>
    <pivotField showAll="0"/>
    <pivotField showAll="0"/>
    <pivotField showAll="0"/>
    <pivotField showAll="0"/>
    <pivotField axis="axisCol" showAll="0">
      <items count="4">
        <item x="2"/>
        <item x="1"/>
        <item x="0"/>
        <item t="default"/>
      </items>
    </pivotField>
    <pivotField showAll="0"/>
    <pivotField showAll="0"/>
    <pivotField showAll="0"/>
    <pivotField dataField="1" showAll="0"/>
    <pivotField showAll="0">
      <items count="13">
        <item x="3"/>
        <item x="0"/>
        <item x="4"/>
        <item x="2"/>
        <item x="10"/>
        <item x="5"/>
        <item x="8"/>
        <item x="1"/>
        <item x="11"/>
        <item x="6"/>
        <item x="7"/>
        <item x="9"/>
        <item t="default"/>
      </items>
    </pivotField>
    <pivotField axis="axisRow" showAll="0">
      <items count="3">
        <item x="1"/>
        <item x="0"/>
        <item t="default"/>
      </items>
    </pivotField>
  </pivotFields>
  <rowFields count="1">
    <field x="11"/>
  </rowFields>
  <rowItems count="3">
    <i>
      <x/>
    </i>
    <i>
      <x v="1"/>
    </i>
    <i t="grand">
      <x/>
    </i>
  </rowItems>
  <colFields count="1">
    <field x="5"/>
  </colFields>
  <colItems count="4">
    <i>
      <x/>
    </i>
    <i>
      <x v="1"/>
    </i>
    <i>
      <x v="2"/>
    </i>
    <i t="grand">
      <x/>
    </i>
  </colItems>
  <dataFields count="1">
    <dataField name="Sum of Profit" fld="9" baseField="0" baseItem="0" numFmtId="165"/>
  </dataFields>
  <formats count="1">
    <format dxfId="147">
      <pivotArea outline="0" collapsedLevelsAreSubtotals="1" fieldPosition="0"/>
    </format>
  </formats>
  <chartFormats count="8">
    <chartFormat chart="3" format="3" series="1">
      <pivotArea type="data" outline="0" fieldPosition="0">
        <references count="2">
          <reference field="4294967294" count="1" selected="0">
            <x v="0"/>
          </reference>
          <reference field="5" count="1" selected="0">
            <x v="0"/>
          </reference>
        </references>
      </pivotArea>
    </chartFormat>
    <chartFormat chart="3" format="4" series="1">
      <pivotArea type="data" outline="0" fieldPosition="0">
        <references count="2">
          <reference field="4294967294" count="1" selected="0">
            <x v="0"/>
          </reference>
          <reference field="5" count="1" selected="0">
            <x v="1"/>
          </reference>
        </references>
      </pivotArea>
    </chartFormat>
    <chartFormat chart="3" format="5"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 chart="4" format="9">
      <pivotArea type="data" outline="0" fieldPosition="0">
        <references count="3">
          <reference field="4294967294" count="1" selected="0">
            <x v="0"/>
          </reference>
          <reference field="5" count="1" selected="0">
            <x v="2"/>
          </reference>
          <reference field="11" count="1" selected="0">
            <x v="0"/>
          </reference>
        </references>
      </pivotArea>
    </chartFormat>
    <chartFormat chart="4" format="10">
      <pivotArea type="data" outline="0" fieldPosition="0">
        <references count="3">
          <reference field="4294967294" count="1" selected="0">
            <x v="0"/>
          </reference>
          <reference field="5" count="1" selected="0">
            <x v="2"/>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DF4A1B-182B-4352-83B7-915D967200B0}" sourceName="Category">
  <pivotTables>
    <pivotTable tabId="4" name="SaleByMonth"/>
    <pivotTable tabId="4" name="ProfitByYear"/>
    <pivotTable tabId="4" name="SaleByState"/>
    <pivotTable tabId="4" name="SubCategorySales"/>
    <pivotTable tabId="4" name="SumOfProfit"/>
    <pivotTable tabId="4" name="SumOfSales"/>
    <pivotTable tabId="4" name="TopCustomerProfit"/>
  </pivotTables>
  <data>
    <tabular pivotCacheId="148567826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0504BCE-13B1-43DD-9614-E789CDF87A4E}" sourceName="Month">
  <pivotTables>
    <pivotTable tabId="4" name="ProfitByYear"/>
    <pivotTable tabId="4" name="SaleByState"/>
    <pivotTable tabId="4" name="SubCategorySales"/>
    <pivotTable tabId="4" name="SumOfProfit"/>
    <pivotTable tabId="4" name="SumOfSales"/>
    <pivotTable tabId="4" name="TopCustomerProfit"/>
  </pivotTables>
  <data>
    <tabular pivotCacheId="1485678268">
      <items count="12">
        <i x="3" s="1"/>
        <i x="0" s="1"/>
        <i x="4" s="1"/>
        <i x="2" s="1"/>
        <i x="10" s="1"/>
        <i x="5" s="1"/>
        <i x="8" s="1"/>
        <i x="1" s="1"/>
        <i x="11" s="1"/>
        <i x="6" s="1"/>
        <i x="7"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3D5871F-485A-4612-AF3A-90BB7E2D9F4C}" sourceName="Year">
  <pivotTables>
    <pivotTable tabId="4" name="SaleByMonth"/>
    <pivotTable tabId="4" name="SaleByState"/>
    <pivotTable tabId="4" name="SubCategorySales"/>
    <pivotTable tabId="4" name="SumOfProfit"/>
    <pivotTable tabId="4" name="SumOfSales"/>
    <pivotTable tabId="4" name="TopCustomerProfit"/>
  </pivotTables>
  <data>
    <tabular pivotCacheId="148567826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27D2519-608A-44BE-BD99-F64D18A743CB}" cache="Slicer_Category" caption="Category" rowHeight="241300"/>
  <slicer name="Month" xr10:uid="{16CC0A9C-28FC-42FD-A919-089D35264CA2}" cache="Slicer_Month" caption="Month" rowHeight="241300"/>
  <slicer name="Year" xr10:uid="{21F9B4FF-CE3F-47BD-82B6-45676AD8DF21}"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A0BCBF-1E52-4C3E-A307-71192261934E}" name="Table1" displayName="Table1" ref="A1:L101" totalsRowShown="0">
  <autoFilter ref="A1:L101" xr:uid="{41A0BCBF-1E52-4C3E-A307-71192261934E}"/>
  <tableColumns count="12">
    <tableColumn id="1" xr3:uid="{ABC6F395-3CCF-41DC-93C4-5F98661B9929}" name="Order Date" dataDxfId="149"/>
    <tableColumn id="2" xr3:uid="{25B1C27A-5116-47A6-BDC7-0075700FCD5D}" name="Order_Date" dataDxfId="148">
      <calculatedColumnFormula>TEXT(A2,"dd-mm-yyyy")</calculatedColumnFormula>
    </tableColumn>
    <tableColumn id="3" xr3:uid="{EFF846BA-CFA2-4B37-9176-6E87C75600AA}" name="Customer Name"/>
    <tableColumn id="4" xr3:uid="{A887E95B-71BB-44DA-9228-D64EA60A72B5}" name="Salesman Name"/>
    <tableColumn id="5" xr3:uid="{1D49986A-AC92-450C-8D2A-1F195C87D642}" name="State"/>
    <tableColumn id="6" xr3:uid="{7760DA4B-9685-4B02-85C7-765941711E09}" name="Category"/>
    <tableColumn id="7" xr3:uid="{553E13C9-8DAF-48BF-9FD8-5CE8D6041DEB}" name="Sub-Category"/>
    <tableColumn id="8" xr3:uid="{F3C5F6B5-B3B9-483F-9598-F3D923E61F51}" name="Sales"/>
    <tableColumn id="9" xr3:uid="{EFE34466-9A2D-4E44-B141-A8A54C8F8089}" name="Quantity"/>
    <tableColumn id="10" xr3:uid="{7683D8E9-1C44-4A07-8505-5934BB898D70}" name="Profit"/>
    <tableColumn id="11" xr3:uid="{89EDA7E2-66B9-4CA8-929B-E757A038D058}" name="Month"/>
    <tableColumn id="12" xr3:uid="{EAE7F65B-8C7E-4E8D-8D44-F6828B423481}" name="Yea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0B6080-6458-4325-9DB1-FD3042E50A87}" name="Table2" displayName="Table2" ref="O1:P18" totalsRowShown="0" headerRowDxfId="140" tableBorderDxfId="139">
  <autoFilter ref="O1:P18" xr:uid="{B20B6080-6458-4325-9DB1-FD3042E50A87}"/>
  <tableColumns count="2">
    <tableColumn id="1" xr3:uid="{230152F7-2F89-42CE-BEF7-D8AD183A12BF}" name="Customer Name" dataDxfId="138"/>
    <tableColumn id="2" xr3:uid="{BFCA51E3-87E5-4368-9F36-12B8D116AA94}" name="Yea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zoomScale="95" zoomScaleNormal="95" workbookViewId="0">
      <selection activeCell="AG116" sqref="AG116"/>
    </sheetView>
  </sheetViews>
  <sheetFormatPr defaultRowHeight="15" x14ac:dyDescent="0.25"/>
  <cols>
    <col min="1" max="1" width="12.85546875" customWidth="1"/>
    <col min="2" max="2" width="13.42578125" customWidth="1"/>
    <col min="3" max="3" width="17.42578125" customWidth="1"/>
    <col min="4" max="4" width="17.28515625" customWidth="1"/>
    <col min="5" max="5" width="13.140625" bestFit="1" customWidth="1"/>
    <col min="6" max="6" width="14.5703125" bestFit="1" customWidth="1"/>
    <col min="7" max="7" width="15" customWidth="1"/>
    <col min="8" max="8" width="9" bestFit="1" customWidth="1"/>
    <col min="9" max="9" width="10.85546875" customWidth="1"/>
    <col min="10" max="10" width="9" bestFit="1" customWidth="1"/>
    <col min="11" max="11" width="10.85546875" bestFit="1" customWidth="1"/>
    <col min="12" max="12" width="7.140625" customWidth="1"/>
  </cols>
  <sheetData>
    <row r="1" spans="1:12" x14ac:dyDescent="0.25">
      <c r="A1" t="s">
        <v>0</v>
      </c>
      <c r="B1" t="s">
        <v>149</v>
      </c>
      <c r="C1" t="s">
        <v>1</v>
      </c>
      <c r="D1" t="s">
        <v>2</v>
      </c>
      <c r="E1" t="s">
        <v>3</v>
      </c>
      <c r="F1" t="s">
        <v>4</v>
      </c>
      <c r="G1" t="s">
        <v>5</v>
      </c>
      <c r="H1" t="s">
        <v>6</v>
      </c>
      <c r="I1" t="s">
        <v>7</v>
      </c>
      <c r="J1" t="s">
        <v>8</v>
      </c>
      <c r="K1" t="s">
        <v>9</v>
      </c>
      <c r="L1" t="s">
        <v>10</v>
      </c>
    </row>
    <row r="2" spans="1:12" x14ac:dyDescent="0.25">
      <c r="A2" s="1" t="s">
        <v>11</v>
      </c>
      <c r="B2" s="1" t="str">
        <f>TEXT(A2,"dd-mm-yyyy")</f>
        <v>18-02-2026</v>
      </c>
      <c r="C2" t="s">
        <v>12</v>
      </c>
      <c r="D2" t="s">
        <v>13</v>
      </c>
      <c r="E2" t="s">
        <v>14</v>
      </c>
      <c r="F2" t="s">
        <v>15</v>
      </c>
      <c r="G2" t="s">
        <v>16</v>
      </c>
      <c r="H2">
        <v>2002.87</v>
      </c>
      <c r="I2">
        <v>8</v>
      </c>
      <c r="J2">
        <v>486.92</v>
      </c>
      <c r="K2" t="s">
        <v>17</v>
      </c>
      <c r="L2">
        <v>2026</v>
      </c>
    </row>
    <row r="3" spans="1:12" x14ac:dyDescent="0.25">
      <c r="A3" s="1" t="s">
        <v>18</v>
      </c>
      <c r="B3" s="1" t="str">
        <f t="shared" ref="B3:B66" si="0">TEXT(A3,"dd-mm-yyyy")</f>
        <v>27-02-2025</v>
      </c>
      <c r="C3" t="s">
        <v>19</v>
      </c>
      <c r="D3" t="s">
        <v>20</v>
      </c>
      <c r="E3" t="s">
        <v>14</v>
      </c>
      <c r="F3" t="s">
        <v>15</v>
      </c>
      <c r="G3" t="s">
        <v>21</v>
      </c>
      <c r="H3">
        <v>35467.54</v>
      </c>
      <c r="I3">
        <v>3</v>
      </c>
      <c r="J3">
        <v>7929.56</v>
      </c>
      <c r="K3" t="s">
        <v>17</v>
      </c>
      <c r="L3">
        <v>2025</v>
      </c>
    </row>
    <row r="4" spans="1:12" x14ac:dyDescent="0.25">
      <c r="A4" s="1" t="s">
        <v>22</v>
      </c>
      <c r="B4" s="1" t="str">
        <f t="shared" si="0"/>
        <v>31-08-2025</v>
      </c>
      <c r="C4" t="s">
        <v>23</v>
      </c>
      <c r="D4" t="s">
        <v>24</v>
      </c>
      <c r="E4" t="s">
        <v>25</v>
      </c>
      <c r="F4" t="s">
        <v>15</v>
      </c>
      <c r="G4" t="s">
        <v>21</v>
      </c>
      <c r="H4">
        <v>30999.08</v>
      </c>
      <c r="I4">
        <v>15</v>
      </c>
      <c r="J4">
        <v>7635.6</v>
      </c>
      <c r="K4" t="s">
        <v>26</v>
      </c>
      <c r="L4">
        <v>2025</v>
      </c>
    </row>
    <row r="5" spans="1:12" x14ac:dyDescent="0.25">
      <c r="A5" s="1" t="s">
        <v>27</v>
      </c>
      <c r="B5" s="1" t="str">
        <f t="shared" si="0"/>
        <v>21-04-2025</v>
      </c>
      <c r="C5" t="s">
        <v>28</v>
      </c>
      <c r="D5" t="s">
        <v>20</v>
      </c>
      <c r="E5" t="s">
        <v>29</v>
      </c>
      <c r="F5" t="s">
        <v>30</v>
      </c>
      <c r="G5" t="s">
        <v>31</v>
      </c>
      <c r="H5">
        <v>23654.400000000001</v>
      </c>
      <c r="I5">
        <v>1</v>
      </c>
      <c r="J5">
        <v>2262.15</v>
      </c>
      <c r="K5" t="s">
        <v>32</v>
      </c>
      <c r="L5">
        <v>2025</v>
      </c>
    </row>
    <row r="6" spans="1:12" x14ac:dyDescent="0.25">
      <c r="A6" s="1" t="s">
        <v>33</v>
      </c>
      <c r="B6" s="1" t="str">
        <f t="shared" si="0"/>
        <v>24-02-2026</v>
      </c>
      <c r="C6" t="s">
        <v>19</v>
      </c>
      <c r="D6" t="s">
        <v>34</v>
      </c>
      <c r="E6" t="s">
        <v>35</v>
      </c>
      <c r="F6" t="s">
        <v>36</v>
      </c>
      <c r="G6" t="s">
        <v>37</v>
      </c>
      <c r="H6">
        <v>32441.27</v>
      </c>
      <c r="I6">
        <v>12</v>
      </c>
      <c r="J6">
        <v>5506</v>
      </c>
      <c r="K6" t="s">
        <v>17</v>
      </c>
      <c r="L6">
        <v>2026</v>
      </c>
    </row>
    <row r="7" spans="1:12" x14ac:dyDescent="0.25">
      <c r="A7" s="1" t="s">
        <v>38</v>
      </c>
      <c r="B7" s="1" t="str">
        <f t="shared" si="0"/>
        <v>17-04-2025</v>
      </c>
      <c r="C7" t="s">
        <v>39</v>
      </c>
      <c r="D7" t="s">
        <v>24</v>
      </c>
      <c r="E7" t="s">
        <v>40</v>
      </c>
      <c r="F7" t="s">
        <v>36</v>
      </c>
      <c r="G7" t="s">
        <v>41</v>
      </c>
      <c r="H7">
        <v>3411.17</v>
      </c>
      <c r="I7">
        <v>4</v>
      </c>
      <c r="J7">
        <v>645.86</v>
      </c>
      <c r="K7" t="s">
        <v>32</v>
      </c>
      <c r="L7">
        <v>2025</v>
      </c>
    </row>
    <row r="8" spans="1:12" x14ac:dyDescent="0.25">
      <c r="A8" s="1" t="s">
        <v>42</v>
      </c>
      <c r="B8" s="1" t="str">
        <f t="shared" si="0"/>
        <v>23-01-2025</v>
      </c>
      <c r="C8" t="s">
        <v>23</v>
      </c>
      <c r="D8" t="s">
        <v>43</v>
      </c>
      <c r="E8" t="s">
        <v>14</v>
      </c>
      <c r="F8" t="s">
        <v>30</v>
      </c>
      <c r="G8" t="s">
        <v>44</v>
      </c>
      <c r="H8">
        <v>22216.34</v>
      </c>
      <c r="I8">
        <v>11</v>
      </c>
      <c r="J8">
        <v>3832.39</v>
      </c>
      <c r="K8" t="s">
        <v>45</v>
      </c>
      <c r="L8">
        <v>2025</v>
      </c>
    </row>
    <row r="9" spans="1:12" x14ac:dyDescent="0.25">
      <c r="A9" s="1" t="s">
        <v>46</v>
      </c>
      <c r="B9" s="1" t="str">
        <f t="shared" si="0"/>
        <v>23-01-2026</v>
      </c>
      <c r="C9" t="s">
        <v>19</v>
      </c>
      <c r="D9" t="s">
        <v>20</v>
      </c>
      <c r="E9" t="s">
        <v>47</v>
      </c>
      <c r="F9" t="s">
        <v>30</v>
      </c>
      <c r="G9" t="s">
        <v>48</v>
      </c>
      <c r="H9">
        <v>9831.7199999999993</v>
      </c>
      <c r="I9">
        <v>7</v>
      </c>
      <c r="J9">
        <v>802.96</v>
      </c>
      <c r="K9" t="s">
        <v>45</v>
      </c>
      <c r="L9">
        <v>2026</v>
      </c>
    </row>
    <row r="10" spans="1:12" x14ac:dyDescent="0.25">
      <c r="A10" s="1" t="s">
        <v>49</v>
      </c>
      <c r="B10" s="1" t="str">
        <f t="shared" si="0"/>
        <v>22-03-2025</v>
      </c>
      <c r="C10" t="s">
        <v>50</v>
      </c>
      <c r="D10" t="s">
        <v>51</v>
      </c>
      <c r="E10" t="s">
        <v>35</v>
      </c>
      <c r="F10" t="s">
        <v>30</v>
      </c>
      <c r="G10" t="s">
        <v>31</v>
      </c>
      <c r="H10">
        <v>37846.839999999997</v>
      </c>
      <c r="I10">
        <v>13</v>
      </c>
      <c r="J10">
        <v>4261.62</v>
      </c>
      <c r="K10" t="s">
        <v>52</v>
      </c>
      <c r="L10">
        <v>2025</v>
      </c>
    </row>
    <row r="11" spans="1:12" x14ac:dyDescent="0.25">
      <c r="A11" s="1" t="s">
        <v>53</v>
      </c>
      <c r="B11" s="1" t="str">
        <f t="shared" si="0"/>
        <v>22-08-2025</v>
      </c>
      <c r="C11" t="s">
        <v>54</v>
      </c>
      <c r="D11" t="s">
        <v>51</v>
      </c>
      <c r="E11" t="s">
        <v>14</v>
      </c>
      <c r="F11" t="s">
        <v>15</v>
      </c>
      <c r="G11" t="s">
        <v>55</v>
      </c>
      <c r="H11">
        <v>3730.42</v>
      </c>
      <c r="I11">
        <v>1</v>
      </c>
      <c r="J11">
        <v>302.92</v>
      </c>
      <c r="K11" t="s">
        <v>26</v>
      </c>
      <c r="L11">
        <v>2025</v>
      </c>
    </row>
    <row r="12" spans="1:12" x14ac:dyDescent="0.25">
      <c r="A12" s="1" t="s">
        <v>56</v>
      </c>
      <c r="B12" s="1" t="str">
        <f t="shared" si="0"/>
        <v>03-04-2025</v>
      </c>
      <c r="C12" t="s">
        <v>54</v>
      </c>
      <c r="D12" t="s">
        <v>43</v>
      </c>
      <c r="E12" t="s">
        <v>40</v>
      </c>
      <c r="F12" t="s">
        <v>30</v>
      </c>
      <c r="G12" t="s">
        <v>48</v>
      </c>
      <c r="H12">
        <v>26933.69</v>
      </c>
      <c r="I12">
        <v>1</v>
      </c>
      <c r="J12">
        <v>5652.44</v>
      </c>
      <c r="K12" t="s">
        <v>32</v>
      </c>
      <c r="L12">
        <v>2025</v>
      </c>
    </row>
    <row r="13" spans="1:12" x14ac:dyDescent="0.25">
      <c r="A13" s="1" t="s">
        <v>57</v>
      </c>
      <c r="B13" s="1" t="str">
        <f t="shared" si="0"/>
        <v>09-02-2026</v>
      </c>
      <c r="C13" t="s">
        <v>50</v>
      </c>
      <c r="D13" t="s">
        <v>20</v>
      </c>
      <c r="E13" t="s">
        <v>29</v>
      </c>
      <c r="F13" t="s">
        <v>30</v>
      </c>
      <c r="G13" t="s">
        <v>44</v>
      </c>
      <c r="H13">
        <v>18738.77</v>
      </c>
      <c r="I13">
        <v>5</v>
      </c>
      <c r="J13">
        <v>4360.18</v>
      </c>
      <c r="K13" t="s">
        <v>17</v>
      </c>
      <c r="L13">
        <v>2026</v>
      </c>
    </row>
    <row r="14" spans="1:12" x14ac:dyDescent="0.25">
      <c r="A14" s="1" t="s">
        <v>58</v>
      </c>
      <c r="B14" s="1" t="str">
        <f t="shared" si="0"/>
        <v>18-04-2026</v>
      </c>
      <c r="C14" t="s">
        <v>12</v>
      </c>
      <c r="D14" t="s">
        <v>51</v>
      </c>
      <c r="E14" t="s">
        <v>29</v>
      </c>
      <c r="F14" t="s">
        <v>36</v>
      </c>
      <c r="G14" t="s">
        <v>37</v>
      </c>
      <c r="H14">
        <v>25830.75</v>
      </c>
      <c r="I14">
        <v>7</v>
      </c>
      <c r="J14">
        <v>1742.68</v>
      </c>
      <c r="K14" t="s">
        <v>32</v>
      </c>
      <c r="L14">
        <v>2026</v>
      </c>
    </row>
    <row r="15" spans="1:12" x14ac:dyDescent="0.25">
      <c r="A15" s="1" t="s">
        <v>59</v>
      </c>
      <c r="B15" s="1" t="str">
        <f t="shared" si="0"/>
        <v>12-04-2025</v>
      </c>
      <c r="C15" t="s">
        <v>12</v>
      </c>
      <c r="D15" t="s">
        <v>13</v>
      </c>
      <c r="E15" t="s">
        <v>40</v>
      </c>
      <c r="F15" t="s">
        <v>15</v>
      </c>
      <c r="G15" t="s">
        <v>55</v>
      </c>
      <c r="H15">
        <v>29582.31</v>
      </c>
      <c r="I15">
        <v>6</v>
      </c>
      <c r="J15">
        <v>4628.17</v>
      </c>
      <c r="K15" t="s">
        <v>32</v>
      </c>
      <c r="L15">
        <v>2025</v>
      </c>
    </row>
    <row r="16" spans="1:12" x14ac:dyDescent="0.25">
      <c r="A16" s="1" t="s">
        <v>60</v>
      </c>
      <c r="B16" s="1" t="str">
        <f t="shared" si="0"/>
        <v>13-01-2025</v>
      </c>
      <c r="C16" t="s">
        <v>61</v>
      </c>
      <c r="D16" t="s">
        <v>43</v>
      </c>
      <c r="E16" t="s">
        <v>35</v>
      </c>
      <c r="F16" t="s">
        <v>15</v>
      </c>
      <c r="G16" t="s">
        <v>21</v>
      </c>
      <c r="H16">
        <v>29743.64</v>
      </c>
      <c r="I16">
        <v>15</v>
      </c>
      <c r="J16">
        <v>4400.3500000000004</v>
      </c>
      <c r="K16" t="s">
        <v>45</v>
      </c>
      <c r="L16">
        <v>2025</v>
      </c>
    </row>
    <row r="17" spans="1:12" x14ac:dyDescent="0.25">
      <c r="A17" s="1" t="s">
        <v>62</v>
      </c>
      <c r="B17" s="1" t="str">
        <f t="shared" si="0"/>
        <v>10-06-2025</v>
      </c>
      <c r="C17" t="s">
        <v>50</v>
      </c>
      <c r="D17" t="s">
        <v>43</v>
      </c>
      <c r="E17" t="s">
        <v>25</v>
      </c>
      <c r="F17" t="s">
        <v>36</v>
      </c>
      <c r="G17" t="s">
        <v>37</v>
      </c>
      <c r="H17">
        <v>48784.1</v>
      </c>
      <c r="I17">
        <v>6</v>
      </c>
      <c r="J17">
        <v>5868.06</v>
      </c>
      <c r="K17" t="s">
        <v>63</v>
      </c>
      <c r="L17">
        <v>2025</v>
      </c>
    </row>
    <row r="18" spans="1:12" x14ac:dyDescent="0.25">
      <c r="A18" s="1" t="s">
        <v>64</v>
      </c>
      <c r="B18" s="1" t="str">
        <f t="shared" si="0"/>
        <v>03-01-2026</v>
      </c>
      <c r="C18" t="s">
        <v>28</v>
      </c>
      <c r="D18" t="s">
        <v>24</v>
      </c>
      <c r="E18" t="s">
        <v>35</v>
      </c>
      <c r="F18" t="s">
        <v>30</v>
      </c>
      <c r="G18" t="s">
        <v>44</v>
      </c>
      <c r="H18">
        <v>19201.55</v>
      </c>
      <c r="I18">
        <v>4</v>
      </c>
      <c r="J18">
        <v>3947.23</v>
      </c>
      <c r="K18" t="s">
        <v>45</v>
      </c>
      <c r="L18">
        <v>2026</v>
      </c>
    </row>
    <row r="19" spans="1:12" x14ac:dyDescent="0.25">
      <c r="A19" s="1" t="s">
        <v>65</v>
      </c>
      <c r="B19" s="1" t="str">
        <f t="shared" si="0"/>
        <v>15-10-2025</v>
      </c>
      <c r="C19" t="s">
        <v>19</v>
      </c>
      <c r="D19" t="s">
        <v>43</v>
      </c>
      <c r="E19" t="s">
        <v>47</v>
      </c>
      <c r="F19" t="s">
        <v>36</v>
      </c>
      <c r="G19" t="s">
        <v>37</v>
      </c>
      <c r="H19">
        <v>20298.22</v>
      </c>
      <c r="I19">
        <v>5</v>
      </c>
      <c r="J19">
        <v>3824.32</v>
      </c>
      <c r="K19" t="s">
        <v>66</v>
      </c>
      <c r="L19">
        <v>2025</v>
      </c>
    </row>
    <row r="20" spans="1:12" x14ac:dyDescent="0.25">
      <c r="A20" s="1" t="s">
        <v>67</v>
      </c>
      <c r="B20" s="1" t="str">
        <f t="shared" si="0"/>
        <v>09-04-2026</v>
      </c>
      <c r="C20" t="s">
        <v>61</v>
      </c>
      <c r="D20" t="s">
        <v>34</v>
      </c>
      <c r="E20" t="s">
        <v>14</v>
      </c>
      <c r="F20" t="s">
        <v>30</v>
      </c>
      <c r="G20" t="s">
        <v>44</v>
      </c>
      <c r="H20">
        <v>40560.43</v>
      </c>
      <c r="I20">
        <v>6</v>
      </c>
      <c r="J20">
        <v>9508.3799999999992</v>
      </c>
      <c r="K20" t="s">
        <v>32</v>
      </c>
      <c r="L20">
        <v>2026</v>
      </c>
    </row>
    <row r="21" spans="1:12" x14ac:dyDescent="0.25">
      <c r="A21" s="1" t="s">
        <v>68</v>
      </c>
      <c r="B21" s="1" t="str">
        <f t="shared" si="0"/>
        <v>25-11-2025</v>
      </c>
      <c r="C21" t="s">
        <v>28</v>
      </c>
      <c r="D21" t="s">
        <v>51</v>
      </c>
      <c r="E21" t="s">
        <v>14</v>
      </c>
      <c r="F21" t="s">
        <v>30</v>
      </c>
      <c r="G21" t="s">
        <v>44</v>
      </c>
      <c r="H21">
        <v>6715.29</v>
      </c>
      <c r="I21">
        <v>7</v>
      </c>
      <c r="J21">
        <v>527.85</v>
      </c>
      <c r="K21" t="s">
        <v>69</v>
      </c>
      <c r="L21">
        <v>2025</v>
      </c>
    </row>
    <row r="22" spans="1:12" x14ac:dyDescent="0.25">
      <c r="A22" s="1" t="s">
        <v>70</v>
      </c>
      <c r="B22" s="1" t="str">
        <f t="shared" si="0"/>
        <v>05-04-2025</v>
      </c>
      <c r="C22" t="s">
        <v>12</v>
      </c>
      <c r="D22" t="s">
        <v>43</v>
      </c>
      <c r="E22" t="s">
        <v>40</v>
      </c>
      <c r="F22" t="s">
        <v>30</v>
      </c>
      <c r="G22" t="s">
        <v>44</v>
      </c>
      <c r="H22">
        <v>2162.75</v>
      </c>
      <c r="I22">
        <v>8</v>
      </c>
      <c r="J22">
        <v>307.77999999999997</v>
      </c>
      <c r="K22" t="s">
        <v>32</v>
      </c>
      <c r="L22">
        <v>2025</v>
      </c>
    </row>
    <row r="23" spans="1:12" x14ac:dyDescent="0.25">
      <c r="A23" s="1" t="s">
        <v>71</v>
      </c>
      <c r="B23" s="1" t="str">
        <f t="shared" si="0"/>
        <v>21-07-2025</v>
      </c>
      <c r="C23" t="s">
        <v>12</v>
      </c>
      <c r="D23" t="s">
        <v>20</v>
      </c>
      <c r="E23" t="s">
        <v>14</v>
      </c>
      <c r="F23" t="s">
        <v>36</v>
      </c>
      <c r="G23" t="s">
        <v>41</v>
      </c>
      <c r="H23">
        <v>26196.17</v>
      </c>
      <c r="I23">
        <v>6</v>
      </c>
      <c r="J23">
        <v>6457.07</v>
      </c>
      <c r="K23" t="s">
        <v>72</v>
      </c>
      <c r="L23">
        <v>2025</v>
      </c>
    </row>
    <row r="24" spans="1:12" x14ac:dyDescent="0.25">
      <c r="A24" s="1" t="s">
        <v>73</v>
      </c>
      <c r="B24" s="1" t="str">
        <f t="shared" si="0"/>
        <v>05-06-2025</v>
      </c>
      <c r="C24" t="s">
        <v>12</v>
      </c>
      <c r="D24" t="s">
        <v>43</v>
      </c>
      <c r="E24" t="s">
        <v>14</v>
      </c>
      <c r="F24" t="s">
        <v>36</v>
      </c>
      <c r="G24" t="s">
        <v>74</v>
      </c>
      <c r="H24">
        <v>9909.16</v>
      </c>
      <c r="I24">
        <v>13</v>
      </c>
      <c r="J24">
        <v>1214.54</v>
      </c>
      <c r="K24" t="s">
        <v>63</v>
      </c>
      <c r="L24">
        <v>2025</v>
      </c>
    </row>
    <row r="25" spans="1:12" x14ac:dyDescent="0.25">
      <c r="A25" s="1" t="s">
        <v>75</v>
      </c>
      <c r="B25" s="1" t="str">
        <f t="shared" si="0"/>
        <v>09-11-2025</v>
      </c>
      <c r="C25" t="s">
        <v>19</v>
      </c>
      <c r="D25" t="s">
        <v>43</v>
      </c>
      <c r="E25" t="s">
        <v>29</v>
      </c>
      <c r="F25" t="s">
        <v>15</v>
      </c>
      <c r="G25" t="s">
        <v>21</v>
      </c>
      <c r="H25">
        <v>33557.53</v>
      </c>
      <c r="I25">
        <v>15</v>
      </c>
      <c r="J25">
        <v>6115.87</v>
      </c>
      <c r="K25" t="s">
        <v>69</v>
      </c>
      <c r="L25">
        <v>2025</v>
      </c>
    </row>
    <row r="26" spans="1:12" x14ac:dyDescent="0.25">
      <c r="A26" s="1" t="s">
        <v>76</v>
      </c>
      <c r="B26" s="1" t="str">
        <f t="shared" si="0"/>
        <v>19-02-2025</v>
      </c>
      <c r="C26" t="s">
        <v>54</v>
      </c>
      <c r="D26" t="s">
        <v>13</v>
      </c>
      <c r="E26" t="s">
        <v>35</v>
      </c>
      <c r="F26" t="s">
        <v>36</v>
      </c>
      <c r="G26" t="s">
        <v>37</v>
      </c>
      <c r="H26">
        <v>9857.39</v>
      </c>
      <c r="I26">
        <v>7</v>
      </c>
      <c r="J26">
        <v>717.55</v>
      </c>
      <c r="K26" t="s">
        <v>17</v>
      </c>
      <c r="L26">
        <v>2025</v>
      </c>
    </row>
    <row r="27" spans="1:12" x14ac:dyDescent="0.25">
      <c r="A27" s="1" t="s">
        <v>77</v>
      </c>
      <c r="B27" s="1" t="str">
        <f t="shared" si="0"/>
        <v>07-03-2026</v>
      </c>
      <c r="C27" t="s">
        <v>28</v>
      </c>
      <c r="D27" t="s">
        <v>13</v>
      </c>
      <c r="E27" t="s">
        <v>29</v>
      </c>
      <c r="F27" t="s">
        <v>30</v>
      </c>
      <c r="G27" t="s">
        <v>48</v>
      </c>
      <c r="H27">
        <v>44958.96</v>
      </c>
      <c r="I27">
        <v>8</v>
      </c>
      <c r="J27">
        <v>5271.31</v>
      </c>
      <c r="K27" t="s">
        <v>52</v>
      </c>
      <c r="L27">
        <v>2026</v>
      </c>
    </row>
    <row r="28" spans="1:12" x14ac:dyDescent="0.25">
      <c r="A28" s="1" t="s">
        <v>78</v>
      </c>
      <c r="B28" s="1" t="str">
        <f t="shared" si="0"/>
        <v>15-04-2026</v>
      </c>
      <c r="C28" t="s">
        <v>50</v>
      </c>
      <c r="D28" t="s">
        <v>34</v>
      </c>
      <c r="E28" t="s">
        <v>29</v>
      </c>
      <c r="F28" t="s">
        <v>30</v>
      </c>
      <c r="G28" t="s">
        <v>31</v>
      </c>
      <c r="H28">
        <v>33943.39</v>
      </c>
      <c r="I28">
        <v>6</v>
      </c>
      <c r="J28">
        <v>8277.59</v>
      </c>
      <c r="K28" t="s">
        <v>32</v>
      </c>
      <c r="L28">
        <v>2026</v>
      </c>
    </row>
    <row r="29" spans="1:12" x14ac:dyDescent="0.25">
      <c r="A29" s="1" t="s">
        <v>79</v>
      </c>
      <c r="B29" s="1" t="str">
        <f t="shared" si="0"/>
        <v>05-02-2025</v>
      </c>
      <c r="C29" t="s">
        <v>61</v>
      </c>
      <c r="D29" t="s">
        <v>51</v>
      </c>
      <c r="E29" t="s">
        <v>35</v>
      </c>
      <c r="F29" t="s">
        <v>15</v>
      </c>
      <c r="G29" t="s">
        <v>55</v>
      </c>
      <c r="H29">
        <v>2822.77</v>
      </c>
      <c r="I29">
        <v>9</v>
      </c>
      <c r="J29">
        <v>439.11</v>
      </c>
      <c r="K29" t="s">
        <v>17</v>
      </c>
      <c r="L29">
        <v>2025</v>
      </c>
    </row>
    <row r="30" spans="1:12" x14ac:dyDescent="0.25">
      <c r="A30" s="1" t="s">
        <v>11</v>
      </c>
      <c r="B30" s="1" t="str">
        <f t="shared" si="0"/>
        <v>18-02-2026</v>
      </c>
      <c r="C30" t="s">
        <v>54</v>
      </c>
      <c r="D30" t="s">
        <v>34</v>
      </c>
      <c r="E30" t="s">
        <v>25</v>
      </c>
      <c r="F30" t="s">
        <v>15</v>
      </c>
      <c r="G30" t="s">
        <v>21</v>
      </c>
      <c r="H30">
        <v>39408.11</v>
      </c>
      <c r="I30">
        <v>4</v>
      </c>
      <c r="J30">
        <v>8629.7000000000007</v>
      </c>
      <c r="K30" t="s">
        <v>17</v>
      </c>
      <c r="L30">
        <v>2026</v>
      </c>
    </row>
    <row r="31" spans="1:12" x14ac:dyDescent="0.25">
      <c r="A31" s="1" t="s">
        <v>76</v>
      </c>
      <c r="B31" s="1" t="str">
        <f t="shared" si="0"/>
        <v>19-02-2025</v>
      </c>
      <c r="C31" t="s">
        <v>28</v>
      </c>
      <c r="D31" t="s">
        <v>34</v>
      </c>
      <c r="E31" t="s">
        <v>47</v>
      </c>
      <c r="F31" t="s">
        <v>36</v>
      </c>
      <c r="G31" t="s">
        <v>74</v>
      </c>
      <c r="H31">
        <v>11008.97</v>
      </c>
      <c r="I31">
        <v>2</v>
      </c>
      <c r="J31">
        <v>1851.07</v>
      </c>
      <c r="K31" t="s">
        <v>17</v>
      </c>
      <c r="L31">
        <v>2025</v>
      </c>
    </row>
    <row r="32" spans="1:12" x14ac:dyDescent="0.25">
      <c r="A32" s="1" t="s">
        <v>80</v>
      </c>
      <c r="B32" s="1" t="str">
        <f t="shared" si="0"/>
        <v>19-12-2025</v>
      </c>
      <c r="C32" t="s">
        <v>39</v>
      </c>
      <c r="D32" t="s">
        <v>24</v>
      </c>
      <c r="E32" t="s">
        <v>25</v>
      </c>
      <c r="F32" t="s">
        <v>36</v>
      </c>
      <c r="G32" t="s">
        <v>41</v>
      </c>
      <c r="H32">
        <v>10638.59</v>
      </c>
      <c r="I32">
        <v>2</v>
      </c>
      <c r="J32">
        <v>2457.1799999999998</v>
      </c>
      <c r="K32" t="s">
        <v>81</v>
      </c>
      <c r="L32">
        <v>2025</v>
      </c>
    </row>
    <row r="33" spans="1:12" x14ac:dyDescent="0.25">
      <c r="A33" s="1" t="s">
        <v>82</v>
      </c>
      <c r="B33" s="1" t="str">
        <f t="shared" si="0"/>
        <v>27-10-2025</v>
      </c>
      <c r="C33" t="s">
        <v>39</v>
      </c>
      <c r="D33" t="s">
        <v>24</v>
      </c>
      <c r="E33" t="s">
        <v>14</v>
      </c>
      <c r="F33" t="s">
        <v>30</v>
      </c>
      <c r="G33" t="s">
        <v>48</v>
      </c>
      <c r="H33">
        <v>35321.53</v>
      </c>
      <c r="I33">
        <v>10</v>
      </c>
      <c r="J33">
        <v>5012.54</v>
      </c>
      <c r="K33" t="s">
        <v>66</v>
      </c>
      <c r="L33">
        <v>2025</v>
      </c>
    </row>
    <row r="34" spans="1:12" x14ac:dyDescent="0.25">
      <c r="A34" s="1" t="s">
        <v>83</v>
      </c>
      <c r="B34" s="1" t="str">
        <f t="shared" si="0"/>
        <v>30-03-2026</v>
      </c>
      <c r="C34" t="s">
        <v>39</v>
      </c>
      <c r="D34" t="s">
        <v>24</v>
      </c>
      <c r="E34" t="s">
        <v>40</v>
      </c>
      <c r="F34" t="s">
        <v>36</v>
      </c>
      <c r="G34" t="s">
        <v>41</v>
      </c>
      <c r="H34">
        <v>6671.24</v>
      </c>
      <c r="I34">
        <v>5</v>
      </c>
      <c r="J34">
        <v>946.6</v>
      </c>
      <c r="K34" t="s">
        <v>52</v>
      </c>
      <c r="L34">
        <v>2026</v>
      </c>
    </row>
    <row r="35" spans="1:12" x14ac:dyDescent="0.25">
      <c r="A35" s="1" t="s">
        <v>84</v>
      </c>
      <c r="B35" s="1" t="str">
        <f t="shared" si="0"/>
        <v>11-05-2025</v>
      </c>
      <c r="C35" t="s">
        <v>61</v>
      </c>
      <c r="D35" t="s">
        <v>34</v>
      </c>
      <c r="E35" t="s">
        <v>29</v>
      </c>
      <c r="F35" t="s">
        <v>30</v>
      </c>
      <c r="G35" t="s">
        <v>31</v>
      </c>
      <c r="H35">
        <v>32823.160000000003</v>
      </c>
      <c r="I35">
        <v>12</v>
      </c>
      <c r="J35">
        <v>3559.4</v>
      </c>
      <c r="K35" t="s">
        <v>85</v>
      </c>
      <c r="L35">
        <v>2025</v>
      </c>
    </row>
    <row r="36" spans="1:12" x14ac:dyDescent="0.25">
      <c r="A36" s="1" t="s">
        <v>86</v>
      </c>
      <c r="B36" s="1" t="str">
        <f t="shared" si="0"/>
        <v>16-04-2026</v>
      </c>
      <c r="C36" t="s">
        <v>54</v>
      </c>
      <c r="D36" t="s">
        <v>20</v>
      </c>
      <c r="E36" t="s">
        <v>35</v>
      </c>
      <c r="F36" t="s">
        <v>15</v>
      </c>
      <c r="G36" t="s">
        <v>55</v>
      </c>
      <c r="H36">
        <v>46739.55</v>
      </c>
      <c r="I36">
        <v>10</v>
      </c>
      <c r="J36">
        <v>9264.66</v>
      </c>
      <c r="K36" t="s">
        <v>32</v>
      </c>
      <c r="L36">
        <v>2026</v>
      </c>
    </row>
    <row r="37" spans="1:12" x14ac:dyDescent="0.25">
      <c r="A37" s="1" t="s">
        <v>87</v>
      </c>
      <c r="B37" s="1" t="str">
        <f t="shared" si="0"/>
        <v>12-05-2026</v>
      </c>
      <c r="C37" t="s">
        <v>61</v>
      </c>
      <c r="D37" t="s">
        <v>34</v>
      </c>
      <c r="E37" t="s">
        <v>29</v>
      </c>
      <c r="F37" t="s">
        <v>36</v>
      </c>
      <c r="G37" t="s">
        <v>41</v>
      </c>
      <c r="H37">
        <v>35862.28</v>
      </c>
      <c r="I37">
        <v>13</v>
      </c>
      <c r="J37">
        <v>8223.67</v>
      </c>
      <c r="K37" t="s">
        <v>85</v>
      </c>
      <c r="L37">
        <v>2026</v>
      </c>
    </row>
    <row r="38" spans="1:12" x14ac:dyDescent="0.25">
      <c r="A38" s="1" t="s">
        <v>88</v>
      </c>
      <c r="B38" s="1" t="str">
        <f t="shared" si="0"/>
        <v>18-11-2025</v>
      </c>
      <c r="C38" t="s">
        <v>50</v>
      </c>
      <c r="D38" t="s">
        <v>43</v>
      </c>
      <c r="E38" t="s">
        <v>40</v>
      </c>
      <c r="F38" t="s">
        <v>30</v>
      </c>
      <c r="G38" t="s">
        <v>44</v>
      </c>
      <c r="H38">
        <v>36905.4</v>
      </c>
      <c r="I38">
        <v>2</v>
      </c>
      <c r="J38">
        <v>8438.39</v>
      </c>
      <c r="K38" t="s">
        <v>69</v>
      </c>
      <c r="L38">
        <v>2025</v>
      </c>
    </row>
    <row r="39" spans="1:12" x14ac:dyDescent="0.25">
      <c r="A39" s="1" t="s">
        <v>89</v>
      </c>
      <c r="B39" s="1" t="str">
        <f t="shared" si="0"/>
        <v>26-03-2026</v>
      </c>
      <c r="C39" t="s">
        <v>12</v>
      </c>
      <c r="D39" t="s">
        <v>24</v>
      </c>
      <c r="E39" t="s">
        <v>25</v>
      </c>
      <c r="F39" t="s">
        <v>36</v>
      </c>
      <c r="G39" t="s">
        <v>37</v>
      </c>
      <c r="H39">
        <v>16953.169999999998</v>
      </c>
      <c r="I39">
        <v>15</v>
      </c>
      <c r="J39">
        <v>1329.9</v>
      </c>
      <c r="K39" t="s">
        <v>52</v>
      </c>
      <c r="L39">
        <v>2026</v>
      </c>
    </row>
    <row r="40" spans="1:12" x14ac:dyDescent="0.25">
      <c r="A40" s="1" t="s">
        <v>90</v>
      </c>
      <c r="B40" s="1" t="str">
        <f t="shared" si="0"/>
        <v>01-12-2025</v>
      </c>
      <c r="C40" t="s">
        <v>54</v>
      </c>
      <c r="D40" t="s">
        <v>51</v>
      </c>
      <c r="E40" t="s">
        <v>14</v>
      </c>
      <c r="F40" t="s">
        <v>30</v>
      </c>
      <c r="G40" t="s">
        <v>44</v>
      </c>
      <c r="H40">
        <v>34853.919999999998</v>
      </c>
      <c r="I40">
        <v>11</v>
      </c>
      <c r="J40">
        <v>2789.68</v>
      </c>
      <c r="K40" t="s">
        <v>81</v>
      </c>
      <c r="L40">
        <v>2025</v>
      </c>
    </row>
    <row r="41" spans="1:12" x14ac:dyDescent="0.25">
      <c r="A41" s="1" t="s">
        <v>91</v>
      </c>
      <c r="B41" s="1" t="str">
        <f t="shared" si="0"/>
        <v>11-11-2025</v>
      </c>
      <c r="C41" t="s">
        <v>54</v>
      </c>
      <c r="D41" t="s">
        <v>34</v>
      </c>
      <c r="E41" t="s">
        <v>47</v>
      </c>
      <c r="F41" t="s">
        <v>36</v>
      </c>
      <c r="G41" t="s">
        <v>41</v>
      </c>
      <c r="H41">
        <v>14772.61</v>
      </c>
      <c r="I41">
        <v>8</v>
      </c>
      <c r="J41">
        <v>3606.47</v>
      </c>
      <c r="K41" t="s">
        <v>69</v>
      </c>
      <c r="L41">
        <v>2025</v>
      </c>
    </row>
    <row r="42" spans="1:12" x14ac:dyDescent="0.25">
      <c r="A42" s="1" t="s">
        <v>92</v>
      </c>
      <c r="B42" s="1" t="str">
        <f t="shared" si="0"/>
        <v>24-12-2025</v>
      </c>
      <c r="C42" t="s">
        <v>50</v>
      </c>
      <c r="D42" t="s">
        <v>24</v>
      </c>
      <c r="E42" t="s">
        <v>35</v>
      </c>
      <c r="F42" t="s">
        <v>36</v>
      </c>
      <c r="G42" t="s">
        <v>37</v>
      </c>
      <c r="H42">
        <v>1202.49</v>
      </c>
      <c r="I42">
        <v>4</v>
      </c>
      <c r="J42">
        <v>280.8</v>
      </c>
      <c r="K42" t="s">
        <v>81</v>
      </c>
      <c r="L42">
        <v>2025</v>
      </c>
    </row>
    <row r="43" spans="1:12" x14ac:dyDescent="0.25">
      <c r="A43" s="1" t="s">
        <v>93</v>
      </c>
      <c r="B43" s="1" t="str">
        <f t="shared" si="0"/>
        <v>31-10-2025</v>
      </c>
      <c r="C43" t="s">
        <v>54</v>
      </c>
      <c r="D43" t="s">
        <v>43</v>
      </c>
      <c r="E43" t="s">
        <v>40</v>
      </c>
      <c r="F43" t="s">
        <v>30</v>
      </c>
      <c r="G43" t="s">
        <v>31</v>
      </c>
      <c r="H43">
        <v>26282.71</v>
      </c>
      <c r="I43">
        <v>3</v>
      </c>
      <c r="J43">
        <v>4740</v>
      </c>
      <c r="K43" t="s">
        <v>66</v>
      </c>
      <c r="L43">
        <v>2025</v>
      </c>
    </row>
    <row r="44" spans="1:12" x14ac:dyDescent="0.25">
      <c r="A44" s="1" t="s">
        <v>94</v>
      </c>
      <c r="B44" s="1" t="str">
        <f t="shared" si="0"/>
        <v>23-05-2025</v>
      </c>
      <c r="C44" t="s">
        <v>54</v>
      </c>
      <c r="D44" t="s">
        <v>51</v>
      </c>
      <c r="E44" t="s">
        <v>47</v>
      </c>
      <c r="F44" t="s">
        <v>30</v>
      </c>
      <c r="G44" t="s">
        <v>31</v>
      </c>
      <c r="H44">
        <v>46729.75</v>
      </c>
      <c r="I44">
        <v>5</v>
      </c>
      <c r="J44">
        <v>6265.64</v>
      </c>
      <c r="K44" t="s">
        <v>85</v>
      </c>
      <c r="L44">
        <v>2025</v>
      </c>
    </row>
    <row r="45" spans="1:12" x14ac:dyDescent="0.25">
      <c r="A45" s="1" t="s">
        <v>95</v>
      </c>
      <c r="B45" s="1" t="str">
        <f t="shared" si="0"/>
        <v>16-02-2025</v>
      </c>
      <c r="C45" t="s">
        <v>54</v>
      </c>
      <c r="D45" t="s">
        <v>24</v>
      </c>
      <c r="E45" t="s">
        <v>47</v>
      </c>
      <c r="F45" t="s">
        <v>36</v>
      </c>
      <c r="G45" t="s">
        <v>37</v>
      </c>
      <c r="H45">
        <v>39880.35</v>
      </c>
      <c r="I45">
        <v>7</v>
      </c>
      <c r="J45">
        <v>7962.85</v>
      </c>
      <c r="K45" t="s">
        <v>17</v>
      </c>
      <c r="L45">
        <v>2025</v>
      </c>
    </row>
    <row r="46" spans="1:12" x14ac:dyDescent="0.25">
      <c r="A46" s="1" t="s">
        <v>96</v>
      </c>
      <c r="B46" s="1" t="str">
        <f t="shared" si="0"/>
        <v>23-03-2026</v>
      </c>
      <c r="C46" t="s">
        <v>39</v>
      </c>
      <c r="D46" t="s">
        <v>43</v>
      </c>
      <c r="E46" t="s">
        <v>29</v>
      </c>
      <c r="F46" t="s">
        <v>15</v>
      </c>
      <c r="G46" t="s">
        <v>55</v>
      </c>
      <c r="H46">
        <v>17247.169999999998</v>
      </c>
      <c r="I46">
        <v>2</v>
      </c>
      <c r="J46">
        <v>4249.17</v>
      </c>
      <c r="K46" t="s">
        <v>52</v>
      </c>
      <c r="L46">
        <v>2026</v>
      </c>
    </row>
    <row r="47" spans="1:12" x14ac:dyDescent="0.25">
      <c r="A47" s="1" t="s">
        <v>97</v>
      </c>
      <c r="B47" s="1" t="str">
        <f t="shared" si="0"/>
        <v>28-09-2025</v>
      </c>
      <c r="C47" t="s">
        <v>50</v>
      </c>
      <c r="D47" t="s">
        <v>43</v>
      </c>
      <c r="E47" t="s">
        <v>35</v>
      </c>
      <c r="F47" t="s">
        <v>30</v>
      </c>
      <c r="G47" t="s">
        <v>48</v>
      </c>
      <c r="H47">
        <v>5629.08</v>
      </c>
      <c r="I47">
        <v>14</v>
      </c>
      <c r="J47">
        <v>1097.43</v>
      </c>
      <c r="K47" t="s">
        <v>98</v>
      </c>
      <c r="L47">
        <v>2025</v>
      </c>
    </row>
    <row r="48" spans="1:12" x14ac:dyDescent="0.25">
      <c r="A48" s="1" t="s">
        <v>99</v>
      </c>
      <c r="B48" s="1" t="str">
        <f t="shared" si="0"/>
        <v>16-06-2025</v>
      </c>
      <c r="C48" t="s">
        <v>54</v>
      </c>
      <c r="D48" t="s">
        <v>24</v>
      </c>
      <c r="E48" t="s">
        <v>35</v>
      </c>
      <c r="F48" t="s">
        <v>15</v>
      </c>
      <c r="G48" t="s">
        <v>21</v>
      </c>
      <c r="H48">
        <v>32097.62</v>
      </c>
      <c r="I48">
        <v>1</v>
      </c>
      <c r="J48">
        <v>5141.9799999999996</v>
      </c>
      <c r="K48" t="s">
        <v>63</v>
      </c>
      <c r="L48">
        <v>2025</v>
      </c>
    </row>
    <row r="49" spans="1:12" x14ac:dyDescent="0.25">
      <c r="A49" s="1" t="s">
        <v>100</v>
      </c>
      <c r="B49" s="1" t="str">
        <f t="shared" si="0"/>
        <v>05-08-2025</v>
      </c>
      <c r="C49" t="s">
        <v>28</v>
      </c>
      <c r="D49" t="s">
        <v>51</v>
      </c>
      <c r="E49" t="s">
        <v>47</v>
      </c>
      <c r="F49" t="s">
        <v>36</v>
      </c>
      <c r="G49" t="s">
        <v>37</v>
      </c>
      <c r="H49">
        <v>49092.79</v>
      </c>
      <c r="I49">
        <v>8</v>
      </c>
      <c r="J49">
        <v>5656.58</v>
      </c>
      <c r="K49" t="s">
        <v>26</v>
      </c>
      <c r="L49">
        <v>2025</v>
      </c>
    </row>
    <row r="50" spans="1:12" x14ac:dyDescent="0.25">
      <c r="A50" s="1" t="s">
        <v>101</v>
      </c>
      <c r="B50" s="1" t="str">
        <f t="shared" si="0"/>
        <v>14-09-2025</v>
      </c>
      <c r="C50" t="s">
        <v>54</v>
      </c>
      <c r="D50" t="s">
        <v>24</v>
      </c>
      <c r="E50" t="s">
        <v>14</v>
      </c>
      <c r="F50" t="s">
        <v>36</v>
      </c>
      <c r="G50" t="s">
        <v>74</v>
      </c>
      <c r="H50">
        <v>37999.129999999997</v>
      </c>
      <c r="I50">
        <v>6</v>
      </c>
      <c r="J50">
        <v>3415.41</v>
      </c>
      <c r="K50" t="s">
        <v>98</v>
      </c>
      <c r="L50">
        <v>2025</v>
      </c>
    </row>
    <row r="51" spans="1:12" x14ac:dyDescent="0.25">
      <c r="A51" s="1" t="s">
        <v>102</v>
      </c>
      <c r="B51" s="1" t="str">
        <f t="shared" si="0"/>
        <v>29-09-2025</v>
      </c>
      <c r="C51" t="s">
        <v>39</v>
      </c>
      <c r="D51" t="s">
        <v>13</v>
      </c>
      <c r="E51" t="s">
        <v>47</v>
      </c>
      <c r="F51" t="s">
        <v>30</v>
      </c>
      <c r="G51" t="s">
        <v>44</v>
      </c>
      <c r="H51">
        <v>46765.37</v>
      </c>
      <c r="I51">
        <v>12</v>
      </c>
      <c r="J51">
        <v>3094.83</v>
      </c>
      <c r="K51" t="s">
        <v>98</v>
      </c>
      <c r="L51">
        <v>2025</v>
      </c>
    </row>
    <row r="52" spans="1:12" x14ac:dyDescent="0.25">
      <c r="A52" s="1" t="s">
        <v>103</v>
      </c>
      <c r="B52" s="1" t="str">
        <f t="shared" si="0"/>
        <v>06-09-2025</v>
      </c>
      <c r="C52" t="s">
        <v>12</v>
      </c>
      <c r="D52" t="s">
        <v>51</v>
      </c>
      <c r="E52" t="s">
        <v>40</v>
      </c>
      <c r="F52" t="s">
        <v>36</v>
      </c>
      <c r="G52" t="s">
        <v>41</v>
      </c>
      <c r="H52">
        <v>4401.03</v>
      </c>
      <c r="I52">
        <v>11</v>
      </c>
      <c r="J52">
        <v>1017.22</v>
      </c>
      <c r="K52" t="s">
        <v>98</v>
      </c>
      <c r="L52">
        <v>2025</v>
      </c>
    </row>
    <row r="53" spans="1:12" x14ac:dyDescent="0.25">
      <c r="A53" s="1" t="s">
        <v>104</v>
      </c>
      <c r="B53" s="1" t="str">
        <f t="shared" si="0"/>
        <v>04-05-2025</v>
      </c>
      <c r="C53" t="s">
        <v>39</v>
      </c>
      <c r="D53" t="s">
        <v>43</v>
      </c>
      <c r="E53" t="s">
        <v>29</v>
      </c>
      <c r="F53" t="s">
        <v>36</v>
      </c>
      <c r="G53" t="s">
        <v>41</v>
      </c>
      <c r="H53">
        <v>2187.88</v>
      </c>
      <c r="I53">
        <v>6</v>
      </c>
      <c r="J53">
        <v>215.7</v>
      </c>
      <c r="K53" t="s">
        <v>85</v>
      </c>
      <c r="L53">
        <v>2025</v>
      </c>
    </row>
    <row r="54" spans="1:12" x14ac:dyDescent="0.25">
      <c r="A54" s="1" t="s">
        <v>105</v>
      </c>
      <c r="B54" s="1" t="str">
        <f t="shared" si="0"/>
        <v>08-04-2025</v>
      </c>
      <c r="C54" t="s">
        <v>28</v>
      </c>
      <c r="D54" t="s">
        <v>51</v>
      </c>
      <c r="E54" t="s">
        <v>29</v>
      </c>
      <c r="F54" t="s">
        <v>15</v>
      </c>
      <c r="G54" t="s">
        <v>16</v>
      </c>
      <c r="H54">
        <v>13032.37</v>
      </c>
      <c r="I54">
        <v>12</v>
      </c>
      <c r="J54">
        <v>1178.73</v>
      </c>
      <c r="K54" t="s">
        <v>32</v>
      </c>
      <c r="L54">
        <v>2025</v>
      </c>
    </row>
    <row r="55" spans="1:12" x14ac:dyDescent="0.25">
      <c r="A55" s="1" t="s">
        <v>106</v>
      </c>
      <c r="B55" s="1" t="str">
        <f t="shared" si="0"/>
        <v>31-03-2025</v>
      </c>
      <c r="C55" t="s">
        <v>19</v>
      </c>
      <c r="D55" t="s">
        <v>13</v>
      </c>
      <c r="E55" t="s">
        <v>40</v>
      </c>
      <c r="F55" t="s">
        <v>15</v>
      </c>
      <c r="G55" t="s">
        <v>55</v>
      </c>
      <c r="H55">
        <v>14685.02</v>
      </c>
      <c r="I55">
        <v>1</v>
      </c>
      <c r="J55">
        <v>1110.7</v>
      </c>
      <c r="K55" t="s">
        <v>52</v>
      </c>
      <c r="L55">
        <v>2025</v>
      </c>
    </row>
    <row r="56" spans="1:12" x14ac:dyDescent="0.25">
      <c r="A56" s="1" t="s">
        <v>107</v>
      </c>
      <c r="B56" s="1" t="str">
        <f t="shared" si="0"/>
        <v>28-12-2025</v>
      </c>
      <c r="C56" t="s">
        <v>50</v>
      </c>
      <c r="D56" t="s">
        <v>34</v>
      </c>
      <c r="E56" t="s">
        <v>35</v>
      </c>
      <c r="F56" t="s">
        <v>15</v>
      </c>
      <c r="G56" t="s">
        <v>16</v>
      </c>
      <c r="H56">
        <v>14312.87</v>
      </c>
      <c r="I56">
        <v>7</v>
      </c>
      <c r="J56">
        <v>1374.9</v>
      </c>
      <c r="K56" t="s">
        <v>81</v>
      </c>
      <c r="L56">
        <v>2025</v>
      </c>
    </row>
    <row r="57" spans="1:12" x14ac:dyDescent="0.25">
      <c r="A57" s="1" t="s">
        <v>108</v>
      </c>
      <c r="B57" s="1" t="str">
        <f t="shared" si="0"/>
        <v>01-11-2025</v>
      </c>
      <c r="C57" t="s">
        <v>61</v>
      </c>
      <c r="D57" t="s">
        <v>51</v>
      </c>
      <c r="E57" t="s">
        <v>35</v>
      </c>
      <c r="F57" t="s">
        <v>30</v>
      </c>
      <c r="G57" t="s">
        <v>44</v>
      </c>
      <c r="H57">
        <v>28463.77</v>
      </c>
      <c r="I57">
        <v>4</v>
      </c>
      <c r="J57">
        <v>5556.52</v>
      </c>
      <c r="K57" t="s">
        <v>69</v>
      </c>
      <c r="L57">
        <v>2025</v>
      </c>
    </row>
    <row r="58" spans="1:12" x14ac:dyDescent="0.25">
      <c r="A58" s="1" t="s">
        <v>109</v>
      </c>
      <c r="B58" s="1" t="str">
        <f t="shared" si="0"/>
        <v>17-09-2025</v>
      </c>
      <c r="C58" t="s">
        <v>61</v>
      </c>
      <c r="D58" t="s">
        <v>20</v>
      </c>
      <c r="E58" t="s">
        <v>25</v>
      </c>
      <c r="F58" t="s">
        <v>15</v>
      </c>
      <c r="G58" t="s">
        <v>55</v>
      </c>
      <c r="H58">
        <v>5016.47</v>
      </c>
      <c r="I58">
        <v>4</v>
      </c>
      <c r="J58">
        <v>266.99</v>
      </c>
      <c r="K58" t="s">
        <v>98</v>
      </c>
      <c r="L58">
        <v>2025</v>
      </c>
    </row>
    <row r="59" spans="1:12" x14ac:dyDescent="0.25">
      <c r="A59" s="1" t="s">
        <v>110</v>
      </c>
      <c r="B59" s="1" t="str">
        <f t="shared" si="0"/>
        <v>08-05-2026</v>
      </c>
      <c r="C59" t="s">
        <v>39</v>
      </c>
      <c r="D59" t="s">
        <v>24</v>
      </c>
      <c r="E59" t="s">
        <v>29</v>
      </c>
      <c r="F59" t="s">
        <v>30</v>
      </c>
      <c r="G59" t="s">
        <v>44</v>
      </c>
      <c r="H59">
        <v>22015</v>
      </c>
      <c r="I59">
        <v>11</v>
      </c>
      <c r="J59">
        <v>3475.91</v>
      </c>
      <c r="K59" t="s">
        <v>85</v>
      </c>
      <c r="L59">
        <v>2026</v>
      </c>
    </row>
    <row r="60" spans="1:12" x14ac:dyDescent="0.25">
      <c r="A60" s="1" t="s">
        <v>111</v>
      </c>
      <c r="B60" s="1" t="str">
        <f t="shared" si="0"/>
        <v>01-03-2025</v>
      </c>
      <c r="C60" t="s">
        <v>12</v>
      </c>
      <c r="D60" t="s">
        <v>34</v>
      </c>
      <c r="E60" t="s">
        <v>29</v>
      </c>
      <c r="F60" t="s">
        <v>36</v>
      </c>
      <c r="G60" t="s">
        <v>74</v>
      </c>
      <c r="H60">
        <v>3907.33</v>
      </c>
      <c r="I60">
        <v>6</v>
      </c>
      <c r="J60">
        <v>341.59</v>
      </c>
      <c r="K60" t="s">
        <v>52</v>
      </c>
      <c r="L60">
        <v>2025</v>
      </c>
    </row>
    <row r="61" spans="1:12" x14ac:dyDescent="0.25">
      <c r="A61" s="1" t="s">
        <v>112</v>
      </c>
      <c r="B61" s="1" t="str">
        <f t="shared" si="0"/>
        <v>04-04-2025</v>
      </c>
      <c r="C61" t="s">
        <v>28</v>
      </c>
      <c r="D61" t="s">
        <v>24</v>
      </c>
      <c r="E61" t="s">
        <v>35</v>
      </c>
      <c r="F61" t="s">
        <v>15</v>
      </c>
      <c r="G61" t="s">
        <v>16</v>
      </c>
      <c r="H61">
        <v>2409.9499999999998</v>
      </c>
      <c r="I61">
        <v>11</v>
      </c>
      <c r="J61">
        <v>426.26</v>
      </c>
      <c r="K61" t="s">
        <v>32</v>
      </c>
      <c r="L61">
        <v>2025</v>
      </c>
    </row>
    <row r="62" spans="1:12" x14ac:dyDescent="0.25">
      <c r="A62" s="1" t="s">
        <v>113</v>
      </c>
      <c r="B62" s="1" t="str">
        <f t="shared" si="0"/>
        <v>30-03-2025</v>
      </c>
      <c r="C62" t="s">
        <v>54</v>
      </c>
      <c r="D62" t="s">
        <v>51</v>
      </c>
      <c r="E62" t="s">
        <v>35</v>
      </c>
      <c r="F62" t="s">
        <v>30</v>
      </c>
      <c r="G62" t="s">
        <v>48</v>
      </c>
      <c r="H62">
        <v>32820.79</v>
      </c>
      <c r="I62">
        <v>3</v>
      </c>
      <c r="J62">
        <v>8004.95</v>
      </c>
      <c r="K62" t="s">
        <v>52</v>
      </c>
      <c r="L62">
        <v>2025</v>
      </c>
    </row>
    <row r="63" spans="1:12" x14ac:dyDescent="0.25">
      <c r="A63" s="1" t="s">
        <v>86</v>
      </c>
      <c r="B63" s="1" t="str">
        <f t="shared" si="0"/>
        <v>16-04-2026</v>
      </c>
      <c r="C63" t="s">
        <v>54</v>
      </c>
      <c r="D63" t="s">
        <v>34</v>
      </c>
      <c r="E63" t="s">
        <v>40</v>
      </c>
      <c r="F63" t="s">
        <v>15</v>
      </c>
      <c r="G63" t="s">
        <v>16</v>
      </c>
      <c r="H63">
        <v>30189.35</v>
      </c>
      <c r="I63">
        <v>15</v>
      </c>
      <c r="J63">
        <v>5038.3900000000003</v>
      </c>
      <c r="K63" t="s">
        <v>32</v>
      </c>
      <c r="L63">
        <v>2026</v>
      </c>
    </row>
    <row r="64" spans="1:12" x14ac:dyDescent="0.25">
      <c r="A64" s="1" t="s">
        <v>114</v>
      </c>
      <c r="B64" s="1" t="str">
        <f t="shared" si="0"/>
        <v>03-03-2026</v>
      </c>
      <c r="C64" t="s">
        <v>39</v>
      </c>
      <c r="D64" t="s">
        <v>24</v>
      </c>
      <c r="E64" t="s">
        <v>47</v>
      </c>
      <c r="F64" t="s">
        <v>36</v>
      </c>
      <c r="G64" t="s">
        <v>37</v>
      </c>
      <c r="H64">
        <v>2225.16</v>
      </c>
      <c r="I64">
        <v>10</v>
      </c>
      <c r="J64">
        <v>347.66</v>
      </c>
      <c r="K64" t="s">
        <v>52</v>
      </c>
      <c r="L64">
        <v>2026</v>
      </c>
    </row>
    <row r="65" spans="1:12" x14ac:dyDescent="0.25">
      <c r="A65" s="1" t="s">
        <v>115</v>
      </c>
      <c r="B65" s="1" t="str">
        <f t="shared" si="0"/>
        <v>04-01-2026</v>
      </c>
      <c r="C65" t="s">
        <v>39</v>
      </c>
      <c r="D65" t="s">
        <v>34</v>
      </c>
      <c r="E65" t="s">
        <v>40</v>
      </c>
      <c r="F65" t="s">
        <v>15</v>
      </c>
      <c r="G65" t="s">
        <v>55</v>
      </c>
      <c r="H65">
        <v>37959.75</v>
      </c>
      <c r="I65">
        <v>5</v>
      </c>
      <c r="J65">
        <v>3801.91</v>
      </c>
      <c r="K65" t="s">
        <v>45</v>
      </c>
      <c r="L65">
        <v>2026</v>
      </c>
    </row>
    <row r="66" spans="1:12" x14ac:dyDescent="0.25">
      <c r="A66" s="1" t="s">
        <v>116</v>
      </c>
      <c r="B66" s="1" t="str">
        <f t="shared" si="0"/>
        <v>12-03-2026</v>
      </c>
      <c r="C66" t="s">
        <v>54</v>
      </c>
      <c r="D66" t="s">
        <v>34</v>
      </c>
      <c r="E66" t="s">
        <v>35</v>
      </c>
      <c r="F66" t="s">
        <v>36</v>
      </c>
      <c r="G66" t="s">
        <v>37</v>
      </c>
      <c r="H66">
        <v>13386.79</v>
      </c>
      <c r="I66">
        <v>4</v>
      </c>
      <c r="J66">
        <v>2928.58</v>
      </c>
      <c r="K66" t="s">
        <v>52</v>
      </c>
      <c r="L66">
        <v>2026</v>
      </c>
    </row>
    <row r="67" spans="1:12" x14ac:dyDescent="0.25">
      <c r="A67" s="1" t="s">
        <v>117</v>
      </c>
      <c r="B67" s="1" t="str">
        <f t="shared" ref="B67:B101" si="1">TEXT(A67,"dd-mm-yyyy")</f>
        <v>21-08-2025</v>
      </c>
      <c r="C67" t="s">
        <v>12</v>
      </c>
      <c r="D67" t="s">
        <v>43</v>
      </c>
      <c r="E67" t="s">
        <v>29</v>
      </c>
      <c r="F67" t="s">
        <v>36</v>
      </c>
      <c r="G67" t="s">
        <v>41</v>
      </c>
      <c r="H67">
        <v>33415.68</v>
      </c>
      <c r="I67">
        <v>7</v>
      </c>
      <c r="J67">
        <v>5505.28</v>
      </c>
      <c r="K67" t="s">
        <v>26</v>
      </c>
      <c r="L67">
        <v>2025</v>
      </c>
    </row>
    <row r="68" spans="1:12" x14ac:dyDescent="0.25">
      <c r="A68" s="1" t="s">
        <v>118</v>
      </c>
      <c r="B68" s="1" t="str">
        <f t="shared" si="1"/>
        <v>20-09-2025</v>
      </c>
      <c r="C68" t="s">
        <v>23</v>
      </c>
      <c r="D68" t="s">
        <v>51</v>
      </c>
      <c r="E68" t="s">
        <v>40</v>
      </c>
      <c r="F68" t="s">
        <v>15</v>
      </c>
      <c r="G68" t="s">
        <v>16</v>
      </c>
      <c r="H68">
        <v>35448.629999999997</v>
      </c>
      <c r="I68">
        <v>5</v>
      </c>
      <c r="J68">
        <v>2592.83</v>
      </c>
      <c r="K68" t="s">
        <v>98</v>
      </c>
      <c r="L68">
        <v>2025</v>
      </c>
    </row>
    <row r="69" spans="1:12" x14ac:dyDescent="0.25">
      <c r="A69" s="1" t="s">
        <v>96</v>
      </c>
      <c r="B69" s="1" t="str">
        <f t="shared" si="1"/>
        <v>23-03-2026</v>
      </c>
      <c r="C69" t="s">
        <v>28</v>
      </c>
      <c r="D69" t="s">
        <v>24</v>
      </c>
      <c r="E69" t="s">
        <v>47</v>
      </c>
      <c r="F69" t="s">
        <v>30</v>
      </c>
      <c r="G69" t="s">
        <v>44</v>
      </c>
      <c r="H69">
        <v>11797.33</v>
      </c>
      <c r="I69">
        <v>2</v>
      </c>
      <c r="J69">
        <v>918.98</v>
      </c>
      <c r="K69" t="s">
        <v>52</v>
      </c>
      <c r="L69">
        <v>2026</v>
      </c>
    </row>
    <row r="70" spans="1:12" x14ac:dyDescent="0.25">
      <c r="A70" s="1" t="s">
        <v>119</v>
      </c>
      <c r="B70" s="1" t="str">
        <f t="shared" si="1"/>
        <v>28-04-2025</v>
      </c>
      <c r="C70" t="s">
        <v>39</v>
      </c>
      <c r="D70" t="s">
        <v>51</v>
      </c>
      <c r="E70" t="s">
        <v>14</v>
      </c>
      <c r="F70" t="s">
        <v>30</v>
      </c>
      <c r="G70" t="s">
        <v>48</v>
      </c>
      <c r="H70">
        <v>23818.3</v>
      </c>
      <c r="I70">
        <v>13</v>
      </c>
      <c r="J70">
        <v>2616.98</v>
      </c>
      <c r="K70" t="s">
        <v>32</v>
      </c>
      <c r="L70">
        <v>2025</v>
      </c>
    </row>
    <row r="71" spans="1:12" x14ac:dyDescent="0.25">
      <c r="A71" s="1" t="s">
        <v>120</v>
      </c>
      <c r="B71" s="1" t="str">
        <f t="shared" si="1"/>
        <v>01-02-2025</v>
      </c>
      <c r="C71" t="s">
        <v>61</v>
      </c>
      <c r="D71" t="s">
        <v>34</v>
      </c>
      <c r="E71" t="s">
        <v>29</v>
      </c>
      <c r="F71" t="s">
        <v>30</v>
      </c>
      <c r="G71" t="s">
        <v>48</v>
      </c>
      <c r="H71">
        <v>28817.67</v>
      </c>
      <c r="I71">
        <v>8</v>
      </c>
      <c r="J71">
        <v>6322.98</v>
      </c>
      <c r="K71" t="s">
        <v>17</v>
      </c>
      <c r="L71">
        <v>2025</v>
      </c>
    </row>
    <row r="72" spans="1:12" x14ac:dyDescent="0.25">
      <c r="A72" s="1" t="s">
        <v>121</v>
      </c>
      <c r="B72" s="1" t="str">
        <f t="shared" si="1"/>
        <v>27-03-2025</v>
      </c>
      <c r="C72" t="s">
        <v>12</v>
      </c>
      <c r="D72" t="s">
        <v>34</v>
      </c>
      <c r="E72" t="s">
        <v>14</v>
      </c>
      <c r="F72" t="s">
        <v>15</v>
      </c>
      <c r="G72" t="s">
        <v>55</v>
      </c>
      <c r="H72">
        <v>3162.03</v>
      </c>
      <c r="I72">
        <v>15</v>
      </c>
      <c r="J72">
        <v>639.21</v>
      </c>
      <c r="K72" t="s">
        <v>52</v>
      </c>
      <c r="L72">
        <v>2025</v>
      </c>
    </row>
    <row r="73" spans="1:12" x14ac:dyDescent="0.25">
      <c r="A73" s="1" t="s">
        <v>122</v>
      </c>
      <c r="B73" s="1" t="str">
        <f t="shared" si="1"/>
        <v>12-10-2025</v>
      </c>
      <c r="C73" t="s">
        <v>28</v>
      </c>
      <c r="D73" t="s">
        <v>43</v>
      </c>
      <c r="E73" t="s">
        <v>14</v>
      </c>
      <c r="F73" t="s">
        <v>30</v>
      </c>
      <c r="G73" t="s">
        <v>48</v>
      </c>
      <c r="H73">
        <v>13628.92</v>
      </c>
      <c r="I73">
        <v>6</v>
      </c>
      <c r="J73">
        <v>730.21</v>
      </c>
      <c r="K73" t="s">
        <v>66</v>
      </c>
      <c r="L73">
        <v>2025</v>
      </c>
    </row>
    <row r="74" spans="1:12" x14ac:dyDescent="0.25">
      <c r="A74" s="1" t="s">
        <v>123</v>
      </c>
      <c r="B74" s="1" t="str">
        <f t="shared" si="1"/>
        <v>16-05-2026</v>
      </c>
      <c r="C74" t="s">
        <v>12</v>
      </c>
      <c r="D74" t="s">
        <v>51</v>
      </c>
      <c r="E74" t="s">
        <v>35</v>
      </c>
      <c r="F74" t="s">
        <v>36</v>
      </c>
      <c r="G74" t="s">
        <v>41</v>
      </c>
      <c r="H74">
        <v>36907.129999999997</v>
      </c>
      <c r="I74">
        <v>5</v>
      </c>
      <c r="J74">
        <v>9225.9699999999993</v>
      </c>
      <c r="K74" t="s">
        <v>85</v>
      </c>
      <c r="L74">
        <v>2026</v>
      </c>
    </row>
    <row r="75" spans="1:12" x14ac:dyDescent="0.25">
      <c r="A75" s="1" t="s">
        <v>124</v>
      </c>
      <c r="B75" s="1" t="str">
        <f t="shared" si="1"/>
        <v>03-10-2025</v>
      </c>
      <c r="C75" t="s">
        <v>19</v>
      </c>
      <c r="D75" t="s">
        <v>24</v>
      </c>
      <c r="E75" t="s">
        <v>14</v>
      </c>
      <c r="F75" t="s">
        <v>36</v>
      </c>
      <c r="G75" t="s">
        <v>37</v>
      </c>
      <c r="H75">
        <v>40508.410000000003</v>
      </c>
      <c r="I75">
        <v>7</v>
      </c>
      <c r="J75">
        <v>6615.63</v>
      </c>
      <c r="K75" t="s">
        <v>66</v>
      </c>
      <c r="L75">
        <v>2025</v>
      </c>
    </row>
    <row r="76" spans="1:12" x14ac:dyDescent="0.25">
      <c r="A76" s="1" t="s">
        <v>125</v>
      </c>
      <c r="B76" s="1" t="str">
        <f t="shared" si="1"/>
        <v>29-04-2026</v>
      </c>
      <c r="C76" t="s">
        <v>28</v>
      </c>
      <c r="D76" t="s">
        <v>43</v>
      </c>
      <c r="E76" t="s">
        <v>25</v>
      </c>
      <c r="F76" t="s">
        <v>30</v>
      </c>
      <c r="G76" t="s">
        <v>48</v>
      </c>
      <c r="H76">
        <v>40659.120000000003</v>
      </c>
      <c r="I76">
        <v>14</v>
      </c>
      <c r="J76">
        <v>7416.33</v>
      </c>
      <c r="K76" t="s">
        <v>32</v>
      </c>
      <c r="L76">
        <v>2026</v>
      </c>
    </row>
    <row r="77" spans="1:12" x14ac:dyDescent="0.25">
      <c r="A77" s="1" t="s">
        <v>68</v>
      </c>
      <c r="B77" s="1" t="str">
        <f t="shared" si="1"/>
        <v>25-11-2025</v>
      </c>
      <c r="C77" t="s">
        <v>39</v>
      </c>
      <c r="D77" t="s">
        <v>20</v>
      </c>
      <c r="E77" t="s">
        <v>35</v>
      </c>
      <c r="F77" t="s">
        <v>36</v>
      </c>
      <c r="G77" t="s">
        <v>74</v>
      </c>
      <c r="H77">
        <v>35491.53</v>
      </c>
      <c r="I77">
        <v>13</v>
      </c>
      <c r="J77">
        <v>5517.14</v>
      </c>
      <c r="K77" t="s">
        <v>69</v>
      </c>
      <c r="L77">
        <v>2025</v>
      </c>
    </row>
    <row r="78" spans="1:12" x14ac:dyDescent="0.25">
      <c r="A78" s="1" t="s">
        <v>126</v>
      </c>
      <c r="B78" s="1" t="str">
        <f t="shared" si="1"/>
        <v>01-05-2025</v>
      </c>
      <c r="C78" t="s">
        <v>23</v>
      </c>
      <c r="D78" t="s">
        <v>20</v>
      </c>
      <c r="E78" t="s">
        <v>47</v>
      </c>
      <c r="F78" t="s">
        <v>15</v>
      </c>
      <c r="G78" t="s">
        <v>21</v>
      </c>
      <c r="H78">
        <v>43838.39</v>
      </c>
      <c r="I78">
        <v>2</v>
      </c>
      <c r="J78">
        <v>7941</v>
      </c>
      <c r="K78" t="s">
        <v>85</v>
      </c>
      <c r="L78">
        <v>2025</v>
      </c>
    </row>
    <row r="79" spans="1:12" x14ac:dyDescent="0.25">
      <c r="A79" s="1" t="s">
        <v>127</v>
      </c>
      <c r="B79" s="1" t="str">
        <f t="shared" si="1"/>
        <v>12-01-2025</v>
      </c>
      <c r="C79" t="s">
        <v>61</v>
      </c>
      <c r="D79" t="s">
        <v>13</v>
      </c>
      <c r="E79" t="s">
        <v>29</v>
      </c>
      <c r="F79" t="s">
        <v>15</v>
      </c>
      <c r="G79" t="s">
        <v>16</v>
      </c>
      <c r="H79">
        <v>47789.16</v>
      </c>
      <c r="I79">
        <v>9</v>
      </c>
      <c r="J79">
        <v>6805.97</v>
      </c>
      <c r="K79" t="s">
        <v>45</v>
      </c>
      <c r="L79">
        <v>2025</v>
      </c>
    </row>
    <row r="80" spans="1:12" x14ac:dyDescent="0.25">
      <c r="A80" s="1" t="s">
        <v>128</v>
      </c>
      <c r="B80" s="1" t="str">
        <f t="shared" si="1"/>
        <v>08-01-2026</v>
      </c>
      <c r="C80" t="s">
        <v>54</v>
      </c>
      <c r="D80" t="s">
        <v>20</v>
      </c>
      <c r="E80" t="s">
        <v>14</v>
      </c>
      <c r="F80" t="s">
        <v>30</v>
      </c>
      <c r="G80" t="s">
        <v>31</v>
      </c>
      <c r="H80">
        <v>27588.51</v>
      </c>
      <c r="I80">
        <v>8</v>
      </c>
      <c r="J80">
        <v>6027.07</v>
      </c>
      <c r="K80" t="s">
        <v>45</v>
      </c>
      <c r="L80">
        <v>2026</v>
      </c>
    </row>
    <row r="81" spans="1:12" x14ac:dyDescent="0.25">
      <c r="A81" s="1" t="s">
        <v>129</v>
      </c>
      <c r="B81" s="1" t="str">
        <f t="shared" si="1"/>
        <v>13-01-2026</v>
      </c>
      <c r="C81" t="s">
        <v>12</v>
      </c>
      <c r="D81" t="s">
        <v>24</v>
      </c>
      <c r="E81" t="s">
        <v>47</v>
      </c>
      <c r="F81" t="s">
        <v>30</v>
      </c>
      <c r="G81" t="s">
        <v>31</v>
      </c>
      <c r="H81">
        <v>49081.23</v>
      </c>
      <c r="I81">
        <v>7</v>
      </c>
      <c r="J81">
        <v>5440.48</v>
      </c>
      <c r="K81" t="s">
        <v>45</v>
      </c>
      <c r="L81">
        <v>2026</v>
      </c>
    </row>
    <row r="82" spans="1:12" x14ac:dyDescent="0.25">
      <c r="A82" s="1" t="s">
        <v>130</v>
      </c>
      <c r="B82" s="1" t="str">
        <f t="shared" si="1"/>
        <v>10-09-2025</v>
      </c>
      <c r="C82" t="s">
        <v>12</v>
      </c>
      <c r="D82" t="s">
        <v>24</v>
      </c>
      <c r="E82" t="s">
        <v>35</v>
      </c>
      <c r="F82" t="s">
        <v>15</v>
      </c>
      <c r="G82" t="s">
        <v>16</v>
      </c>
      <c r="H82">
        <v>15461.7</v>
      </c>
      <c r="I82">
        <v>7</v>
      </c>
      <c r="J82">
        <v>1095.1199999999999</v>
      </c>
      <c r="K82" t="s">
        <v>98</v>
      </c>
      <c r="L82">
        <v>2025</v>
      </c>
    </row>
    <row r="83" spans="1:12" x14ac:dyDescent="0.25">
      <c r="A83" s="1" t="s">
        <v>131</v>
      </c>
      <c r="B83" s="1" t="str">
        <f t="shared" si="1"/>
        <v>06-05-2026</v>
      </c>
      <c r="C83" t="s">
        <v>54</v>
      </c>
      <c r="D83" t="s">
        <v>34</v>
      </c>
      <c r="E83" t="s">
        <v>40</v>
      </c>
      <c r="F83" t="s">
        <v>15</v>
      </c>
      <c r="G83" t="s">
        <v>21</v>
      </c>
      <c r="H83">
        <v>20615.41</v>
      </c>
      <c r="I83">
        <v>15</v>
      </c>
      <c r="J83">
        <v>5117.1400000000003</v>
      </c>
      <c r="K83" t="s">
        <v>85</v>
      </c>
      <c r="L83">
        <v>2026</v>
      </c>
    </row>
    <row r="84" spans="1:12" x14ac:dyDescent="0.25">
      <c r="A84" s="1" t="s">
        <v>132</v>
      </c>
      <c r="B84" s="1" t="str">
        <f t="shared" si="1"/>
        <v>24-01-2026</v>
      </c>
      <c r="C84" t="s">
        <v>50</v>
      </c>
      <c r="D84" t="s">
        <v>51</v>
      </c>
      <c r="E84" t="s">
        <v>40</v>
      </c>
      <c r="F84" t="s">
        <v>36</v>
      </c>
      <c r="G84" t="s">
        <v>37</v>
      </c>
      <c r="H84">
        <v>31625.85</v>
      </c>
      <c r="I84">
        <v>13</v>
      </c>
      <c r="J84">
        <v>7408.11</v>
      </c>
      <c r="K84" t="s">
        <v>45</v>
      </c>
      <c r="L84">
        <v>2026</v>
      </c>
    </row>
    <row r="85" spans="1:12" x14ac:dyDescent="0.25">
      <c r="A85" s="1" t="s">
        <v>133</v>
      </c>
      <c r="B85" s="1" t="str">
        <f t="shared" si="1"/>
        <v>05-01-2025</v>
      </c>
      <c r="C85" t="s">
        <v>50</v>
      </c>
      <c r="D85" t="s">
        <v>13</v>
      </c>
      <c r="E85" t="s">
        <v>35</v>
      </c>
      <c r="F85" t="s">
        <v>30</v>
      </c>
      <c r="G85" t="s">
        <v>44</v>
      </c>
      <c r="H85">
        <v>41389.58</v>
      </c>
      <c r="I85">
        <v>4</v>
      </c>
      <c r="J85">
        <v>3332.3</v>
      </c>
      <c r="K85" t="s">
        <v>45</v>
      </c>
      <c r="L85">
        <v>2025</v>
      </c>
    </row>
    <row r="86" spans="1:12" x14ac:dyDescent="0.25">
      <c r="A86" s="1" t="s">
        <v>134</v>
      </c>
      <c r="B86" s="1" t="str">
        <f t="shared" si="1"/>
        <v>25-10-2025</v>
      </c>
      <c r="C86" t="s">
        <v>12</v>
      </c>
      <c r="D86" t="s">
        <v>43</v>
      </c>
      <c r="E86" t="s">
        <v>35</v>
      </c>
      <c r="F86" t="s">
        <v>15</v>
      </c>
      <c r="G86" t="s">
        <v>55</v>
      </c>
      <c r="H86">
        <v>2609.29</v>
      </c>
      <c r="I86">
        <v>12</v>
      </c>
      <c r="J86">
        <v>317.29000000000002</v>
      </c>
      <c r="K86" t="s">
        <v>66</v>
      </c>
      <c r="L86">
        <v>2025</v>
      </c>
    </row>
    <row r="87" spans="1:12" x14ac:dyDescent="0.25">
      <c r="A87" s="1" t="s">
        <v>135</v>
      </c>
      <c r="B87" s="1" t="str">
        <f t="shared" si="1"/>
        <v>02-10-2025</v>
      </c>
      <c r="C87" t="s">
        <v>23</v>
      </c>
      <c r="D87" t="s">
        <v>51</v>
      </c>
      <c r="E87" t="s">
        <v>40</v>
      </c>
      <c r="F87" t="s">
        <v>30</v>
      </c>
      <c r="G87" t="s">
        <v>44</v>
      </c>
      <c r="H87">
        <v>20861.55</v>
      </c>
      <c r="I87">
        <v>11</v>
      </c>
      <c r="J87">
        <v>2774.37</v>
      </c>
      <c r="K87" t="s">
        <v>66</v>
      </c>
      <c r="L87">
        <v>2025</v>
      </c>
    </row>
    <row r="88" spans="1:12" x14ac:dyDescent="0.25">
      <c r="A88" s="1" t="s">
        <v>136</v>
      </c>
      <c r="B88" s="1" t="str">
        <f t="shared" si="1"/>
        <v>22-04-2026</v>
      </c>
      <c r="C88" t="s">
        <v>54</v>
      </c>
      <c r="D88" t="s">
        <v>24</v>
      </c>
      <c r="E88" t="s">
        <v>14</v>
      </c>
      <c r="F88" t="s">
        <v>15</v>
      </c>
      <c r="G88" t="s">
        <v>21</v>
      </c>
      <c r="H88">
        <v>25046.11</v>
      </c>
      <c r="I88">
        <v>8</v>
      </c>
      <c r="J88">
        <v>2887.26</v>
      </c>
      <c r="K88" t="s">
        <v>32</v>
      </c>
      <c r="L88">
        <v>2026</v>
      </c>
    </row>
    <row r="89" spans="1:12" x14ac:dyDescent="0.25">
      <c r="A89" s="1" t="s">
        <v>87</v>
      </c>
      <c r="B89" s="1" t="str">
        <f t="shared" si="1"/>
        <v>12-05-2026</v>
      </c>
      <c r="C89" t="s">
        <v>23</v>
      </c>
      <c r="D89" t="s">
        <v>24</v>
      </c>
      <c r="E89" t="s">
        <v>47</v>
      </c>
      <c r="F89" t="s">
        <v>15</v>
      </c>
      <c r="G89" t="s">
        <v>16</v>
      </c>
      <c r="H89">
        <v>3820.92</v>
      </c>
      <c r="I89">
        <v>2</v>
      </c>
      <c r="J89">
        <v>611.84</v>
      </c>
      <c r="K89" t="s">
        <v>85</v>
      </c>
      <c r="L89">
        <v>2026</v>
      </c>
    </row>
    <row r="90" spans="1:12" x14ac:dyDescent="0.25">
      <c r="A90" s="1" t="s">
        <v>137</v>
      </c>
      <c r="B90" s="1" t="str">
        <f t="shared" si="1"/>
        <v>10-04-2026</v>
      </c>
      <c r="C90" t="s">
        <v>12</v>
      </c>
      <c r="D90" t="s">
        <v>13</v>
      </c>
      <c r="E90" t="s">
        <v>14</v>
      </c>
      <c r="F90" t="s">
        <v>36</v>
      </c>
      <c r="G90" t="s">
        <v>37</v>
      </c>
      <c r="H90">
        <v>6854.5</v>
      </c>
      <c r="I90">
        <v>11</v>
      </c>
      <c r="J90">
        <v>671.64</v>
      </c>
      <c r="K90" t="s">
        <v>32</v>
      </c>
      <c r="L90">
        <v>2026</v>
      </c>
    </row>
    <row r="91" spans="1:12" x14ac:dyDescent="0.25">
      <c r="A91" s="1" t="s">
        <v>138</v>
      </c>
      <c r="B91" s="1" t="str">
        <f t="shared" si="1"/>
        <v>06-01-2026</v>
      </c>
      <c r="C91" t="s">
        <v>28</v>
      </c>
      <c r="D91" t="s">
        <v>51</v>
      </c>
      <c r="E91" t="s">
        <v>25</v>
      </c>
      <c r="F91" t="s">
        <v>36</v>
      </c>
      <c r="G91" t="s">
        <v>37</v>
      </c>
      <c r="H91">
        <v>24767.61</v>
      </c>
      <c r="I91">
        <v>13</v>
      </c>
      <c r="J91">
        <v>3550.8</v>
      </c>
      <c r="K91" t="s">
        <v>45</v>
      </c>
      <c r="L91">
        <v>2026</v>
      </c>
    </row>
    <row r="92" spans="1:12" x14ac:dyDescent="0.25">
      <c r="A92" s="1" t="s">
        <v>139</v>
      </c>
      <c r="B92" s="1" t="str">
        <f t="shared" si="1"/>
        <v>09-01-2026</v>
      </c>
      <c r="C92" t="s">
        <v>28</v>
      </c>
      <c r="D92" t="s">
        <v>34</v>
      </c>
      <c r="E92" t="s">
        <v>47</v>
      </c>
      <c r="F92" t="s">
        <v>15</v>
      </c>
      <c r="G92" t="s">
        <v>55</v>
      </c>
      <c r="H92">
        <v>27407.98</v>
      </c>
      <c r="I92">
        <v>14</v>
      </c>
      <c r="J92">
        <v>4534.37</v>
      </c>
      <c r="K92" t="s">
        <v>45</v>
      </c>
      <c r="L92">
        <v>2026</v>
      </c>
    </row>
    <row r="93" spans="1:12" x14ac:dyDescent="0.25">
      <c r="A93" s="1" t="s">
        <v>140</v>
      </c>
      <c r="B93" s="1" t="str">
        <f t="shared" si="1"/>
        <v>26-04-2026</v>
      </c>
      <c r="C93" t="s">
        <v>61</v>
      </c>
      <c r="D93" t="s">
        <v>43</v>
      </c>
      <c r="E93" t="s">
        <v>40</v>
      </c>
      <c r="F93" t="s">
        <v>36</v>
      </c>
      <c r="G93" t="s">
        <v>41</v>
      </c>
      <c r="H93">
        <v>11204.14</v>
      </c>
      <c r="I93">
        <v>3</v>
      </c>
      <c r="J93">
        <v>1550.03</v>
      </c>
      <c r="K93" t="s">
        <v>32</v>
      </c>
      <c r="L93">
        <v>2026</v>
      </c>
    </row>
    <row r="94" spans="1:12" x14ac:dyDescent="0.25">
      <c r="A94" s="1" t="s">
        <v>141</v>
      </c>
      <c r="B94" s="1" t="str">
        <f t="shared" si="1"/>
        <v>18-04-2025</v>
      </c>
      <c r="C94" t="s">
        <v>19</v>
      </c>
      <c r="D94" t="s">
        <v>13</v>
      </c>
      <c r="E94" t="s">
        <v>35</v>
      </c>
      <c r="F94" t="s">
        <v>15</v>
      </c>
      <c r="G94" t="s">
        <v>55</v>
      </c>
      <c r="H94">
        <v>11327.68</v>
      </c>
      <c r="I94">
        <v>13</v>
      </c>
      <c r="J94">
        <v>2374.09</v>
      </c>
      <c r="K94" t="s">
        <v>32</v>
      </c>
      <c r="L94">
        <v>2025</v>
      </c>
    </row>
    <row r="95" spans="1:12" x14ac:dyDescent="0.25">
      <c r="A95" s="1" t="s">
        <v>142</v>
      </c>
      <c r="B95" s="1" t="str">
        <f t="shared" si="1"/>
        <v>24-01-2025</v>
      </c>
      <c r="C95" t="s">
        <v>54</v>
      </c>
      <c r="D95" t="s">
        <v>51</v>
      </c>
      <c r="E95" t="s">
        <v>47</v>
      </c>
      <c r="F95" t="s">
        <v>30</v>
      </c>
      <c r="G95" t="s">
        <v>31</v>
      </c>
      <c r="H95">
        <v>44400.62</v>
      </c>
      <c r="I95">
        <v>3</v>
      </c>
      <c r="J95">
        <v>10417.81</v>
      </c>
      <c r="K95" t="s">
        <v>45</v>
      </c>
      <c r="L95">
        <v>2025</v>
      </c>
    </row>
    <row r="96" spans="1:12" x14ac:dyDescent="0.25">
      <c r="A96" s="1" t="s">
        <v>143</v>
      </c>
      <c r="B96" s="1" t="str">
        <f t="shared" si="1"/>
        <v>07-06-2025</v>
      </c>
      <c r="C96" t="s">
        <v>12</v>
      </c>
      <c r="D96" t="s">
        <v>51</v>
      </c>
      <c r="E96" t="s">
        <v>25</v>
      </c>
      <c r="F96" t="s">
        <v>36</v>
      </c>
      <c r="G96" t="s">
        <v>74</v>
      </c>
      <c r="H96">
        <v>1812.64</v>
      </c>
      <c r="I96">
        <v>4</v>
      </c>
      <c r="J96">
        <v>315.49</v>
      </c>
      <c r="K96" t="s">
        <v>63</v>
      </c>
      <c r="L96">
        <v>2025</v>
      </c>
    </row>
    <row r="97" spans="1:12" x14ac:dyDescent="0.25">
      <c r="A97" s="1" t="s">
        <v>144</v>
      </c>
      <c r="B97" s="1" t="str">
        <f t="shared" si="1"/>
        <v>26-06-2025</v>
      </c>
      <c r="C97" t="s">
        <v>28</v>
      </c>
      <c r="D97" t="s">
        <v>20</v>
      </c>
      <c r="E97" t="s">
        <v>25</v>
      </c>
      <c r="F97" t="s">
        <v>15</v>
      </c>
      <c r="G97" t="s">
        <v>16</v>
      </c>
      <c r="H97">
        <v>4655.57</v>
      </c>
      <c r="I97">
        <v>13</v>
      </c>
      <c r="J97">
        <v>664.16</v>
      </c>
      <c r="K97" t="s">
        <v>63</v>
      </c>
      <c r="L97">
        <v>2025</v>
      </c>
    </row>
    <row r="98" spans="1:12" x14ac:dyDescent="0.25">
      <c r="A98" s="1" t="s">
        <v>145</v>
      </c>
      <c r="B98" s="1" t="str">
        <f t="shared" si="1"/>
        <v>27-01-2026</v>
      </c>
      <c r="C98" t="s">
        <v>28</v>
      </c>
      <c r="D98" t="s">
        <v>34</v>
      </c>
      <c r="E98" t="s">
        <v>47</v>
      </c>
      <c r="F98" t="s">
        <v>36</v>
      </c>
      <c r="G98" t="s">
        <v>41</v>
      </c>
      <c r="H98">
        <v>18675.14</v>
      </c>
      <c r="I98">
        <v>12</v>
      </c>
      <c r="J98">
        <v>3359.27</v>
      </c>
      <c r="K98" t="s">
        <v>45</v>
      </c>
      <c r="L98">
        <v>2026</v>
      </c>
    </row>
    <row r="99" spans="1:12" x14ac:dyDescent="0.25">
      <c r="A99" s="1" t="s">
        <v>146</v>
      </c>
      <c r="B99" s="1" t="str">
        <f t="shared" si="1"/>
        <v>26-01-2026</v>
      </c>
      <c r="C99" t="s">
        <v>39</v>
      </c>
      <c r="D99" t="s">
        <v>13</v>
      </c>
      <c r="E99" t="s">
        <v>14</v>
      </c>
      <c r="F99" t="s">
        <v>15</v>
      </c>
      <c r="G99" t="s">
        <v>16</v>
      </c>
      <c r="H99">
        <v>28005.15</v>
      </c>
      <c r="I99">
        <v>8</v>
      </c>
      <c r="J99">
        <v>6353.17</v>
      </c>
      <c r="K99" t="s">
        <v>45</v>
      </c>
      <c r="L99">
        <v>2026</v>
      </c>
    </row>
    <row r="100" spans="1:12" x14ac:dyDescent="0.25">
      <c r="A100" s="1" t="s">
        <v>147</v>
      </c>
      <c r="B100" s="1" t="str">
        <f t="shared" si="1"/>
        <v>07-08-2025</v>
      </c>
      <c r="C100" t="s">
        <v>12</v>
      </c>
      <c r="D100" t="s">
        <v>24</v>
      </c>
      <c r="E100" t="s">
        <v>40</v>
      </c>
      <c r="F100" t="s">
        <v>30</v>
      </c>
      <c r="G100" t="s">
        <v>48</v>
      </c>
      <c r="H100">
        <v>7641.97</v>
      </c>
      <c r="I100">
        <v>9</v>
      </c>
      <c r="J100">
        <v>1061.3599999999999</v>
      </c>
      <c r="K100" t="s">
        <v>26</v>
      </c>
      <c r="L100">
        <v>2025</v>
      </c>
    </row>
    <row r="101" spans="1:12" x14ac:dyDescent="0.25">
      <c r="A101" s="1" t="s">
        <v>148</v>
      </c>
      <c r="B101" s="1" t="str">
        <f t="shared" si="1"/>
        <v>30-11-2025</v>
      </c>
      <c r="C101" t="s">
        <v>50</v>
      </c>
      <c r="D101" t="s">
        <v>24</v>
      </c>
      <c r="E101" t="s">
        <v>14</v>
      </c>
      <c r="F101" t="s">
        <v>36</v>
      </c>
      <c r="G101" t="s">
        <v>74</v>
      </c>
      <c r="H101">
        <v>2074.31</v>
      </c>
      <c r="I101">
        <v>2</v>
      </c>
      <c r="J101">
        <v>385.64</v>
      </c>
      <c r="K101" t="s">
        <v>69</v>
      </c>
      <c r="L101">
        <v>2025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E9E64-7C3B-4918-BEA9-6EF2508A9FD4}">
  <dimension ref="A1:Y26"/>
  <sheetViews>
    <sheetView showGridLines="0" topLeftCell="Q2" zoomScale="93" zoomScaleNormal="93" workbookViewId="0">
      <selection activeCell="I15" sqref="I15"/>
    </sheetView>
  </sheetViews>
  <sheetFormatPr defaultRowHeight="15" x14ac:dyDescent="0.25"/>
  <cols>
    <col min="1" max="2" width="15.140625" bestFit="1" customWidth="1"/>
    <col min="3" max="3" width="13.7109375" bestFit="1" customWidth="1"/>
    <col min="4" max="4" width="16.7109375" bestFit="1" customWidth="1"/>
    <col min="5" max="5" width="14.140625" bestFit="1" customWidth="1"/>
    <col min="6" max="6" width="14.5703125" bestFit="1" customWidth="1"/>
    <col min="7" max="7" width="14.140625" bestFit="1" customWidth="1"/>
    <col min="8" max="8" width="14.42578125" bestFit="1" customWidth="1"/>
    <col min="9" max="9" width="13.7109375" bestFit="1" customWidth="1"/>
    <col min="10" max="10" width="15.140625" bestFit="1" customWidth="1"/>
    <col min="11" max="11" width="12.140625" customWidth="1"/>
    <col min="12" max="12" width="15.7109375" bestFit="1" customWidth="1"/>
    <col min="13" max="13" width="14.42578125" bestFit="1" customWidth="1"/>
    <col min="15" max="15" width="17.42578125" customWidth="1"/>
    <col min="16" max="16" width="7.140625" customWidth="1"/>
    <col min="17" max="17" width="6" customWidth="1"/>
    <col min="18" max="18" width="33.5703125" bestFit="1" customWidth="1"/>
    <col min="19" max="19" width="23.7109375" bestFit="1" customWidth="1"/>
    <col min="21" max="21" width="13.7109375" bestFit="1" customWidth="1"/>
    <col min="22" max="22" width="12.7109375" bestFit="1" customWidth="1"/>
    <col min="23" max="23" width="13" bestFit="1" customWidth="1"/>
    <col min="24" max="24" width="13.7109375" bestFit="1" customWidth="1"/>
    <col min="25" max="25" width="12.42578125" bestFit="1" customWidth="1"/>
  </cols>
  <sheetData>
    <row r="1" spans="1:25" ht="15.75" thickBot="1" x14ac:dyDescent="0.3">
      <c r="O1" s="10" t="s">
        <v>1</v>
      </c>
      <c r="P1" s="11" t="s">
        <v>10</v>
      </c>
    </row>
    <row r="2" spans="1:25" ht="16.5" thickTop="1" x14ac:dyDescent="0.25">
      <c r="A2" s="8" t="s">
        <v>156</v>
      </c>
      <c r="C2" s="8" t="s">
        <v>152</v>
      </c>
      <c r="I2" s="8" t="s">
        <v>155</v>
      </c>
      <c r="L2" s="8" t="s">
        <v>158</v>
      </c>
      <c r="O2" s="4" t="s">
        <v>12</v>
      </c>
      <c r="P2">
        <v>2026</v>
      </c>
      <c r="R2" s="8" t="s">
        <v>159</v>
      </c>
      <c r="U2" s="8" t="s">
        <v>163</v>
      </c>
      <c r="X2" s="8" t="s">
        <v>164</v>
      </c>
    </row>
    <row r="3" spans="1:25" x14ac:dyDescent="0.25">
      <c r="A3" t="s">
        <v>150</v>
      </c>
      <c r="C3" s="2" t="s">
        <v>151</v>
      </c>
      <c r="D3" s="2" t="s">
        <v>165</v>
      </c>
      <c r="I3" s="2" t="s">
        <v>153</v>
      </c>
      <c r="J3" t="s">
        <v>150</v>
      </c>
      <c r="L3" t="str">
        <f>I4</f>
        <v>Printer</v>
      </c>
      <c r="M3" s="7">
        <f>GETPIVOTDATA("Sales",$I$3,"Sub-Category",L3)</f>
        <v>363708.85</v>
      </c>
      <c r="O3" s="5" t="s">
        <v>19</v>
      </c>
      <c r="P3">
        <v>2025</v>
      </c>
      <c r="R3" s="2" t="s">
        <v>153</v>
      </c>
      <c r="S3" t="s">
        <v>160</v>
      </c>
      <c r="U3" s="2" t="s">
        <v>153</v>
      </c>
      <c r="V3" t="s">
        <v>151</v>
      </c>
      <c r="X3" s="2" t="s">
        <v>153</v>
      </c>
      <c r="Y3" t="s">
        <v>150</v>
      </c>
    </row>
    <row r="4" spans="1:25" x14ac:dyDescent="0.25">
      <c r="A4" s="7">
        <v>2305506.8000000007</v>
      </c>
      <c r="B4" s="7">
        <f>A4</f>
        <v>2305506.8000000007</v>
      </c>
      <c r="C4" s="2" t="s">
        <v>153</v>
      </c>
      <c r="D4" t="s">
        <v>36</v>
      </c>
      <c r="E4" t="s">
        <v>30</v>
      </c>
      <c r="F4" t="s">
        <v>15</v>
      </c>
      <c r="G4" t="s">
        <v>154</v>
      </c>
      <c r="I4" s="3" t="s">
        <v>37</v>
      </c>
      <c r="J4" s="7">
        <v>363708.85</v>
      </c>
      <c r="L4" t="str">
        <f t="shared" ref="L4:L11" si="0">I5</f>
        <v>Chair</v>
      </c>
      <c r="M4" s="7">
        <f t="shared" ref="M4:M11" si="1">GETPIVOTDATA("Sales",$I$3,"Sub-Category",L4)</f>
        <v>352647.05</v>
      </c>
      <c r="O4" s="4" t="s">
        <v>23</v>
      </c>
      <c r="P4">
        <v>2025</v>
      </c>
      <c r="R4" s="3">
        <v>2025</v>
      </c>
      <c r="S4">
        <v>8</v>
      </c>
      <c r="U4" s="3" t="s">
        <v>54</v>
      </c>
      <c r="V4" s="12">
        <v>98910.5</v>
      </c>
      <c r="X4" s="3" t="s">
        <v>45</v>
      </c>
      <c r="Y4" s="12">
        <v>459683.83</v>
      </c>
    </row>
    <row r="5" spans="1:25" ht="15.75" x14ac:dyDescent="0.25">
      <c r="A5" s="8" t="s">
        <v>157</v>
      </c>
      <c r="C5" s="3">
        <v>2025</v>
      </c>
      <c r="D5" s="7">
        <v>63871.449999999983</v>
      </c>
      <c r="E5" s="7">
        <v>92659.62</v>
      </c>
      <c r="F5" s="7">
        <v>63380.810000000012</v>
      </c>
      <c r="G5" s="7">
        <v>219911.88</v>
      </c>
      <c r="I5" s="3" t="s">
        <v>44</v>
      </c>
      <c r="J5" s="7">
        <v>352647.05</v>
      </c>
      <c r="L5" t="str">
        <f t="shared" si="0"/>
        <v>Bookcase</v>
      </c>
      <c r="M5" s="7">
        <f t="shared" si="1"/>
        <v>322350.61</v>
      </c>
      <c r="O5" s="5" t="s">
        <v>28</v>
      </c>
      <c r="P5">
        <v>2025</v>
      </c>
      <c r="R5" s="3">
        <v>2026</v>
      </c>
      <c r="S5">
        <v>9</v>
      </c>
      <c r="U5" s="3" t="s">
        <v>61</v>
      </c>
      <c r="V5" s="12">
        <v>46633.400000000009</v>
      </c>
      <c r="X5" s="3" t="s">
        <v>17</v>
      </c>
      <c r="Y5" s="12">
        <v>220445.71000000002</v>
      </c>
    </row>
    <row r="6" spans="1:25" x14ac:dyDescent="0.25">
      <c r="A6" t="s">
        <v>151</v>
      </c>
      <c r="C6" s="3">
        <v>2026</v>
      </c>
      <c r="D6" s="7">
        <v>46790.91</v>
      </c>
      <c r="E6" s="7">
        <v>55446.42</v>
      </c>
      <c r="F6" s="7">
        <v>50974.53</v>
      </c>
      <c r="G6" s="7">
        <v>153211.85999999999</v>
      </c>
      <c r="I6" s="3" t="s">
        <v>31</v>
      </c>
      <c r="J6" s="7">
        <v>322350.61</v>
      </c>
      <c r="L6" t="str">
        <f t="shared" si="0"/>
        <v>Binder</v>
      </c>
      <c r="M6" s="7">
        <f t="shared" si="1"/>
        <v>290773.42999999993</v>
      </c>
      <c r="O6" s="4" t="s">
        <v>19</v>
      </c>
      <c r="P6">
        <v>2026</v>
      </c>
      <c r="R6" s="3" t="s">
        <v>154</v>
      </c>
      <c r="S6">
        <v>17</v>
      </c>
      <c r="U6" s="3" t="s">
        <v>50</v>
      </c>
      <c r="V6" s="12">
        <v>45085.020000000004</v>
      </c>
      <c r="X6" s="3" t="s">
        <v>52</v>
      </c>
      <c r="Y6" s="12">
        <v>205661.83</v>
      </c>
    </row>
    <row r="7" spans="1:25" x14ac:dyDescent="0.25">
      <c r="A7" s="7">
        <v>373123.74</v>
      </c>
      <c r="B7" s="7">
        <f>A7</f>
        <v>373123.74</v>
      </c>
      <c r="C7" s="3" t="s">
        <v>154</v>
      </c>
      <c r="D7" s="7">
        <v>110662.35999999999</v>
      </c>
      <c r="E7" s="7">
        <v>148106.03999999998</v>
      </c>
      <c r="F7" s="7">
        <v>114355.34000000001</v>
      </c>
      <c r="G7" s="7">
        <v>373123.74</v>
      </c>
      <c r="I7" s="3" t="s">
        <v>21</v>
      </c>
      <c r="J7" s="7">
        <v>290773.42999999993</v>
      </c>
      <c r="L7" t="str">
        <f t="shared" si="0"/>
        <v>Table</v>
      </c>
      <c r="M7" s="7">
        <f t="shared" si="1"/>
        <v>270061.75</v>
      </c>
      <c r="O7" s="5" t="s">
        <v>39</v>
      </c>
      <c r="P7">
        <v>2025</v>
      </c>
      <c r="U7" s="3" t="s">
        <v>28</v>
      </c>
      <c r="V7" s="12">
        <v>42295.3</v>
      </c>
      <c r="X7" s="3" t="s">
        <v>32</v>
      </c>
      <c r="Y7" s="12">
        <v>397359.95999999996</v>
      </c>
    </row>
    <row r="8" spans="1:25" x14ac:dyDescent="0.25">
      <c r="I8" s="3" t="s">
        <v>48</v>
      </c>
      <c r="J8" s="7">
        <v>270061.75</v>
      </c>
      <c r="L8" t="str">
        <f t="shared" si="0"/>
        <v>Laptop</v>
      </c>
      <c r="M8" s="7">
        <f t="shared" si="1"/>
        <v>204343.06</v>
      </c>
      <c r="O8" s="4" t="s">
        <v>50</v>
      </c>
      <c r="P8">
        <v>2025</v>
      </c>
      <c r="U8" s="3" t="s">
        <v>12</v>
      </c>
      <c r="V8" s="12">
        <v>41797.71</v>
      </c>
      <c r="X8" s="3" t="s">
        <v>85</v>
      </c>
      <c r="Y8" s="12">
        <v>244799.92000000004</v>
      </c>
    </row>
    <row r="9" spans="1:25" x14ac:dyDescent="0.25">
      <c r="I9" s="3" t="s">
        <v>41</v>
      </c>
      <c r="J9" s="7">
        <v>204343.06</v>
      </c>
      <c r="L9" t="str">
        <f t="shared" si="0"/>
        <v>Pen</v>
      </c>
      <c r="M9" s="7">
        <f t="shared" si="1"/>
        <v>202290.44000000003</v>
      </c>
      <c r="O9" s="5" t="s">
        <v>54</v>
      </c>
      <c r="P9">
        <v>2025</v>
      </c>
      <c r="U9" s="3" t="s">
        <v>154</v>
      </c>
      <c r="V9" s="12">
        <v>274721.93</v>
      </c>
      <c r="X9" s="3" t="s">
        <v>63</v>
      </c>
      <c r="Y9" s="12">
        <v>97259.09</v>
      </c>
    </row>
    <row r="10" spans="1:25" ht="15.75" x14ac:dyDescent="0.25">
      <c r="A10" s="8" t="s">
        <v>161</v>
      </c>
      <c r="I10" s="3" t="s">
        <v>55</v>
      </c>
      <c r="J10" s="7">
        <v>202290.44000000003</v>
      </c>
      <c r="L10" t="str">
        <f t="shared" si="0"/>
        <v>Paper</v>
      </c>
      <c r="M10" s="7">
        <f t="shared" si="1"/>
        <v>197128.54000000004</v>
      </c>
      <c r="O10" s="5" t="s">
        <v>50</v>
      </c>
      <c r="P10">
        <v>2026</v>
      </c>
      <c r="X10" s="3" t="s">
        <v>72</v>
      </c>
      <c r="Y10" s="12">
        <v>26196.17</v>
      </c>
    </row>
    <row r="11" spans="1:25" x14ac:dyDescent="0.25">
      <c r="A11" s="2" t="s">
        <v>153</v>
      </c>
      <c r="B11" t="s">
        <v>150</v>
      </c>
      <c r="I11" s="3" t="s">
        <v>16</v>
      </c>
      <c r="J11" s="7">
        <v>197128.54000000004</v>
      </c>
      <c r="L11" t="str">
        <f t="shared" si="0"/>
        <v>Mobile</v>
      </c>
      <c r="M11" s="7">
        <f t="shared" si="1"/>
        <v>102203.06999999999</v>
      </c>
      <c r="O11" s="4" t="s">
        <v>12</v>
      </c>
      <c r="P11">
        <v>2026</v>
      </c>
      <c r="X11" s="3" t="s">
        <v>26</v>
      </c>
      <c r="Y11" s="12">
        <v>124879.94</v>
      </c>
    </row>
    <row r="12" spans="1:25" x14ac:dyDescent="0.25">
      <c r="A12" s="3" t="s">
        <v>40</v>
      </c>
      <c r="B12" s="7">
        <v>346581.96999999991</v>
      </c>
      <c r="I12" s="3" t="s">
        <v>74</v>
      </c>
      <c r="J12" s="7">
        <v>102203.06999999999</v>
      </c>
      <c r="O12" s="5" t="s">
        <v>12</v>
      </c>
      <c r="P12">
        <v>2025</v>
      </c>
      <c r="X12" s="3" t="s">
        <v>98</v>
      </c>
      <c r="Y12" s="12">
        <v>150721.41</v>
      </c>
    </row>
    <row r="13" spans="1:25" x14ac:dyDescent="0.25">
      <c r="A13" s="3" t="s">
        <v>29</v>
      </c>
      <c r="B13" s="7">
        <v>417781.5</v>
      </c>
      <c r="I13" s="3" t="s">
        <v>154</v>
      </c>
      <c r="J13" s="7">
        <v>2305506.7999999998</v>
      </c>
      <c r="O13" s="4" t="s">
        <v>61</v>
      </c>
      <c r="P13">
        <v>2025</v>
      </c>
      <c r="X13" s="3" t="s">
        <v>66</v>
      </c>
      <c r="Y13" s="12">
        <v>159510.62999999998</v>
      </c>
    </row>
    <row r="14" spans="1:25" x14ac:dyDescent="0.25">
      <c r="A14" s="3" t="s">
        <v>35</v>
      </c>
      <c r="B14" s="7">
        <v>452163.27999999991</v>
      </c>
      <c r="O14" s="4" t="s">
        <v>28</v>
      </c>
      <c r="P14">
        <v>2026</v>
      </c>
      <c r="X14" s="3" t="s">
        <v>69</v>
      </c>
      <c r="Y14" s="12">
        <v>157980.44</v>
      </c>
    </row>
    <row r="15" spans="1:25" x14ac:dyDescent="0.25">
      <c r="A15" s="3" t="s">
        <v>47</v>
      </c>
      <c r="B15" s="7">
        <v>439626.54999999993</v>
      </c>
      <c r="O15" s="4" t="s">
        <v>61</v>
      </c>
      <c r="P15">
        <v>2026</v>
      </c>
      <c r="X15" s="3" t="s">
        <v>81</v>
      </c>
      <c r="Y15" s="12">
        <v>61007.869999999995</v>
      </c>
    </row>
    <row r="16" spans="1:25" x14ac:dyDescent="0.25">
      <c r="A16" s="3" t="s">
        <v>14</v>
      </c>
      <c r="B16" s="7">
        <v>425659.04</v>
      </c>
      <c r="O16" s="4" t="s">
        <v>54</v>
      </c>
      <c r="P16">
        <v>2026</v>
      </c>
      <c r="X16" s="3" t="s">
        <v>154</v>
      </c>
      <c r="Y16" s="12">
        <v>2305506.7999999998</v>
      </c>
    </row>
    <row r="17" spans="1:16" x14ac:dyDescent="0.25">
      <c r="A17" s="3" t="s">
        <v>25</v>
      </c>
      <c r="B17" s="7">
        <v>223694.46000000002</v>
      </c>
      <c r="O17" s="4" t="s">
        <v>39</v>
      </c>
      <c r="P17">
        <v>2026</v>
      </c>
    </row>
    <row r="18" spans="1:16" x14ac:dyDescent="0.25">
      <c r="A18" s="3" t="s">
        <v>154</v>
      </c>
      <c r="B18" s="7">
        <v>2305506.7999999998</v>
      </c>
      <c r="O18" s="5" t="s">
        <v>23</v>
      </c>
      <c r="P18">
        <v>2026</v>
      </c>
    </row>
    <row r="20" spans="1:16" ht="18.75" x14ac:dyDescent="0.3">
      <c r="A20" s="9" t="s">
        <v>162</v>
      </c>
      <c r="B20" s="9" t="s">
        <v>6</v>
      </c>
    </row>
    <row r="21" spans="1:16" x14ac:dyDescent="0.25">
      <c r="A21" t="str">
        <f t="shared" ref="A21:A26" si="2">A12</f>
        <v>Delhi</v>
      </c>
      <c r="B21" s="7">
        <f>GETPIVOTDATA("Sales",$A$11,"State",A21)</f>
        <v>346581.96999999991</v>
      </c>
    </row>
    <row r="22" spans="1:16" x14ac:dyDescent="0.25">
      <c r="A22" t="str">
        <f t="shared" si="2"/>
        <v>Gujarat</v>
      </c>
      <c r="B22" s="7">
        <f t="shared" ref="B22:B26" si="3">GETPIVOTDATA("Sales",$A$11,"State",A22)</f>
        <v>417781.5</v>
      </c>
    </row>
    <row r="23" spans="1:16" x14ac:dyDescent="0.25">
      <c r="A23" t="str">
        <f t="shared" si="2"/>
        <v>Karnataka</v>
      </c>
      <c r="B23" s="7">
        <f t="shared" si="3"/>
        <v>452163.27999999991</v>
      </c>
      <c r="H23" s="6"/>
    </row>
    <row r="24" spans="1:16" x14ac:dyDescent="0.25">
      <c r="A24" t="str">
        <f t="shared" si="2"/>
        <v>Maharashtra</v>
      </c>
      <c r="B24" s="7">
        <f t="shared" si="3"/>
        <v>439626.54999999993</v>
      </c>
      <c r="H24" s="6"/>
    </row>
    <row r="25" spans="1:16" x14ac:dyDescent="0.25">
      <c r="A25" t="str">
        <f t="shared" si="2"/>
        <v>Rajasthan</v>
      </c>
      <c r="B25" s="7">
        <f t="shared" si="3"/>
        <v>425659.04</v>
      </c>
    </row>
    <row r="26" spans="1:16" x14ac:dyDescent="0.25">
      <c r="A26" t="str">
        <f t="shared" si="2"/>
        <v>Uttar Pradesh</v>
      </c>
      <c r="B26" s="7">
        <f t="shared" si="3"/>
        <v>223694.46000000002</v>
      </c>
    </row>
  </sheetData>
  <pageMargins left="0.7" right="0.7" top="0.75" bottom="0.75" header="0.3" footer="0.3"/>
  <tableParts count="1">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491D9-CFA6-4AE2-B269-29989BAB7E0D}">
  <dimension ref="A1"/>
  <sheetViews>
    <sheetView showGridLines="0" tabSelected="1" zoomScale="88" zoomScaleNormal="100" workbookViewId="0">
      <selection activeCell="W1" sqref="W1:W1048576"/>
    </sheetView>
  </sheetViews>
  <sheetFormatPr defaultRowHeight="15" x14ac:dyDescent="0.25"/>
  <cols>
    <col min="1" max="2" width="5.28515625" customWidth="1"/>
    <col min="26" max="26" width="13"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Rishabh Sharma</cp:lastModifiedBy>
  <dcterms:created xsi:type="dcterms:W3CDTF">2026-06-03T10:17:12Z</dcterms:created>
  <dcterms:modified xsi:type="dcterms:W3CDTF">2026-09-09T16:19:24Z</dcterms:modified>
</cp:coreProperties>
</file>